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tinfo.sharepoint.com/sites/pmo_div/2 PMO_/"/>
    </mc:Choice>
  </mc:AlternateContent>
  <xr:revisionPtr revIDLastSave="1586" documentId="8_{E8162700-05F7-4A0B-80A6-0C6D7C02B80D}" xr6:coauthVersionLast="47" xr6:coauthVersionMax="47" xr10:uidLastSave="{B77DD8E9-5280-461A-9529-928A034F9BD4}"/>
  <bookViews>
    <workbookView xWindow="24" yWindow="504" windowWidth="21936" windowHeight="11736" xr2:uid="{176080B0-38EF-42A3-A6E8-F29B9A37D012}"/>
  </bookViews>
  <sheets>
    <sheet name="업무수행현황" sheetId="1" r:id="rId1"/>
    <sheet name="프로젝트코드" sheetId="2" r:id="rId2"/>
  </sheets>
  <definedNames>
    <definedName name="_xlnm._FilterDatabase" localSheetId="0" hidden="1">업무수행현황!$A$4:$X$38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4" i="1"/>
  <c r="A25" i="1"/>
  <c r="A20" i="1"/>
  <c r="A21" i="1"/>
  <c r="A22" i="1"/>
  <c r="A23" i="1"/>
  <c r="A14" i="1"/>
  <c r="A19" i="1"/>
  <c r="A18" i="1"/>
  <c r="A16" i="1"/>
  <c r="A15" i="1"/>
  <c r="A13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<sst xmlns="http://schemas.openxmlformats.org/spreadsheetml/2006/main" count="619" uniqueCount="338">
  <si>
    <t>■ 2026년도 PMO본부 업무수행 현황</t>
    <phoneticPr fontId="2" type="noConversion"/>
  </si>
  <si>
    <t>: 제안</t>
  </si>
  <si>
    <t>: 수행</t>
  </si>
  <si>
    <t>순번</t>
    <phoneticPr fontId="2" type="noConversion"/>
  </si>
  <si>
    <t>팀명</t>
    <phoneticPr fontId="2" type="noConversion"/>
  </si>
  <si>
    <t>정</t>
    <phoneticPr fontId="2" type="noConversion"/>
  </si>
  <si>
    <t>부</t>
    <phoneticPr fontId="2" type="noConversion"/>
  </si>
  <si>
    <t>사업 지원 현황</t>
    <phoneticPr fontId="2" type="noConversion"/>
  </si>
  <si>
    <t>사업 주관 부서</t>
  </si>
  <si>
    <t>사업지원
접수일</t>
  </si>
  <si>
    <t>사업공고번호
(사전공고번호)</t>
    <phoneticPr fontId="2" type="noConversion"/>
  </si>
  <si>
    <t>사업
공고일</t>
  </si>
  <si>
    <t>제안
제출일</t>
    <phoneticPr fontId="2" type="noConversion"/>
  </si>
  <si>
    <t>제안
발표일</t>
    <phoneticPr fontId="2" type="noConversion"/>
  </si>
  <si>
    <t>발표/이행
PM</t>
    <phoneticPr fontId="2" type="noConversion"/>
  </si>
  <si>
    <t>PJT결과
진행상황</t>
    <phoneticPr fontId="2" type="noConversion"/>
  </si>
  <si>
    <t>기타사항</t>
  </si>
  <si>
    <t>직급</t>
    <phoneticPr fontId="2" type="noConversion"/>
  </si>
  <si>
    <t>성명</t>
    <phoneticPr fontId="2" type="noConversion"/>
  </si>
  <si>
    <t>사업명</t>
    <phoneticPr fontId="2" type="noConversion"/>
  </si>
  <si>
    <t>프로젝트코트
(PMO본부 자체)</t>
    <phoneticPr fontId="2" type="noConversion"/>
  </si>
  <si>
    <t>사업금액
전체/당사</t>
    <phoneticPr fontId="2" type="noConversion"/>
  </si>
  <si>
    <t>사업유형</t>
    <phoneticPr fontId="2" type="noConversion"/>
  </si>
  <si>
    <t>단계</t>
    <phoneticPr fontId="2" type="noConversion"/>
  </si>
  <si>
    <t>지원시작일</t>
    <phoneticPr fontId="2" type="noConversion"/>
  </si>
  <si>
    <t>지원완료일</t>
    <phoneticPr fontId="2" type="noConversion"/>
  </si>
  <si>
    <t>부서</t>
  </si>
  <si>
    <t>직급</t>
  </si>
  <si>
    <t>담당자</t>
  </si>
  <si>
    <t>PMO본부</t>
  </si>
  <si>
    <t>이사</t>
  </si>
  <si>
    <t>심성훈</t>
  </si>
  <si>
    <t>수석
책임
책임
선임</t>
  </si>
  <si>
    <t>김성필
최낙영
이택호
허석훈</t>
  </si>
  <si>
    <t>[서울교통공사]  
1~4호선 네트워크 유지보수 용역</t>
    <phoneticPr fontId="10" type="noConversion"/>
  </si>
  <si>
    <t>P202400016H6:X6</t>
    <phoneticPr fontId="10" type="noConversion"/>
  </si>
  <si>
    <t>14억 /
11.9억</t>
    <phoneticPr fontId="10" type="noConversion"/>
  </si>
  <si>
    <t>주사업</t>
  </si>
  <si>
    <t>수행중(WIN)</t>
  </si>
  <si>
    <t>전략사업본부</t>
  </si>
  <si>
    <t>상무</t>
  </si>
  <si>
    <t>이충렬</t>
  </si>
  <si>
    <t>2024-07-10
(현장 제출)</t>
  </si>
  <si>
    <t>2024-07-12
제출서류평가</t>
  </si>
  <si>
    <t>발표없음/
조재훈</t>
  </si>
  <si>
    <t>- 수행기간 : '24/08/01 ~ '27/07/31(3년)
- 수행인원(4) : 심성훈PM, 김성필수석, 최낙영책임, 이택호선임
- 유지보수 장애처리: 19건 (05/29기준, 콜 지원 2건 포함)
- 창동차량기지 이전에 따른 정보통신망 Routing 재구성(Static → OSPF) 작업 지원
   ○ 05/19 창동차량기지 이전에 따른 정보통신망(업무망/인터넷망) 이전 망구조 변경 협의
   ○ 05/20 01~03시: 불암산역 인터넷망 백본 스위치에 Routing 설정 작업 지원
     ▷업무망은 6월 18일 ~ 6월 19일 지원 예상
- 서울교통공사 PL 교체 건
   ○ 서울교통공사 PL 교체 (김성필 수석 → 최낙영 책임)  이충렬 상무, 서울교통공사 이건호 대리 협의
     ▷ 05/11 허석훈 선임 입사, 서울교통공사에 6월4일(목) 서류 제출 예정
     ▷ 05/11 ~ 05/15 알카텔 교육 및 ACFE licence 취득완료 (최낙영 책임)
- 05/27(수) 서울교통공사 안전보건에 관한 협의체 회의 참석</t>
  </si>
  <si>
    <t>이광만</t>
  </si>
  <si>
    <t>[한전산업개발]
인터넷빌링시스템(도로조명시스템 포함) 유지보수 용역</t>
    <phoneticPr fontId="10" type="noConversion"/>
  </si>
  <si>
    <t>P202400042</t>
    <phoneticPr fontId="10" type="noConversion"/>
  </si>
  <si>
    <t>1.9억</t>
    <phoneticPr fontId="10" type="noConversion"/>
  </si>
  <si>
    <t>주사업</t>
    <phoneticPr fontId="10" type="noConversion"/>
  </si>
  <si>
    <t>SI사업부문</t>
  </si>
  <si>
    <t>이사</t>
    <phoneticPr fontId="10" type="noConversion"/>
  </si>
  <si>
    <t>정영덕</t>
    <phoneticPr fontId="10" type="noConversion"/>
  </si>
  <si>
    <t>2024-09-25 (공고)
2024-10-08 (재공고)</t>
  </si>
  <si>
    <t>2024-10-14
(온라인 제출)</t>
    <phoneticPr fontId="10" type="noConversion"/>
  </si>
  <si>
    <t>- 수행기간: '24/10/16 ~ '26/01/15 (15개월) + 26/07/15 (6개월 연장)
- 수행인원: 이광만PM(비상주)
- 인터넷빌링, 도로조명시스템, 보이스앱 등 운영지원 및 유지보수 사업
- 기존 수행/개발 상주인력 승계
- 비상주 PM 지원</t>
  </si>
  <si>
    <t>고광종</t>
    <phoneticPr fontId="10" type="noConversion"/>
  </si>
  <si>
    <t>[재능대학교]
정보시스템 통합유지보수용역</t>
    <phoneticPr fontId="10" type="noConversion"/>
  </si>
  <si>
    <t>P202500006</t>
    <phoneticPr fontId="10" type="noConversion"/>
  </si>
  <si>
    <t>5.6억
(3년)</t>
    <phoneticPr fontId="10" type="noConversion"/>
  </si>
  <si>
    <t>상무</t>
    <phoneticPr fontId="10" type="noConversion"/>
  </si>
  <si>
    <t>이충렬</t>
    <phoneticPr fontId="10" type="noConversion"/>
  </si>
  <si>
    <t>2024-018</t>
    <phoneticPr fontId="10" type="noConversion"/>
  </si>
  <si>
    <t>2025-02-20
14:00</t>
    <phoneticPr fontId="10" type="noConversion"/>
  </si>
  <si>
    <t>2025-02-20
14:00 (현장 발표)</t>
    <phoneticPr fontId="10" type="noConversion"/>
  </si>
  <si>
    <t>고광종 이사</t>
    <phoneticPr fontId="10" type="noConversion"/>
  </si>
  <si>
    <t>- 수행기간: 2025.03월 ~ 2028년 02월 (36개월)
- PM 업무 : 매월 정기점검 보고서 취합 및 통합 보고서 작성 및 제출
               기타 장애 발생 시 1차 접수 및 대응</t>
  </si>
  <si>
    <t>심우정</t>
    <phoneticPr fontId="10" type="noConversion"/>
  </si>
  <si>
    <t>수석</t>
    <phoneticPr fontId="10" type="noConversion"/>
  </si>
  <si>
    <t>김찬호</t>
    <phoneticPr fontId="10" type="noConversion"/>
  </si>
  <si>
    <t>[대법원] 
2025년 망분리 노후장비 교체 사업(긴급공고)</t>
    <phoneticPr fontId="10" type="noConversion"/>
  </si>
  <si>
    <t>P202500024</t>
    <phoneticPr fontId="10" type="noConversion"/>
  </si>
  <si>
    <t>33억</t>
    <phoneticPr fontId="10" type="noConversion"/>
  </si>
  <si>
    <t>수행완료(WIN)</t>
  </si>
  <si>
    <t>김형기</t>
    <phoneticPr fontId="10" type="noConversion"/>
  </si>
  <si>
    <t>R25BK00928019</t>
    <phoneticPr fontId="10" type="noConversion"/>
  </si>
  <si>
    <t>2025-08-12
(조달 오프라인PT)</t>
    <phoneticPr fontId="10" type="noConversion"/>
  </si>
  <si>
    <t>심우정이사</t>
    <phoneticPr fontId="10" type="noConversion"/>
  </si>
  <si>
    <t>완료</t>
  </si>
  <si>
    <t xml:space="preserve">- 수행기간 : '25/08/25 ~ '26/03/23, 계약기간 3개월 연장 공문 접수(11/24)
- 수행인원(2) : 심우정PM, 이도원수석(03/23철수촉탁) 김찬호수석(01/20철수), 이길주이사(촉탁,01/20철수)
    ○ 검수계획 및 검수 / 운영이관 및 사업종료
         → 사업수행 개별 노트북 4대 반납 완료
         → 3월 23일 : 법원행정처로 부터 검사결과 통지받음 </t>
    <phoneticPr fontId="2" type="noConversion"/>
  </si>
  <si>
    <t>책임</t>
  </si>
  <si>
    <t>박승준</t>
    <phoneticPr fontId="10" type="noConversion"/>
  </si>
  <si>
    <r>
      <t xml:space="preserve">[인천국제공항공사]
상용인터넷망 및 무선인프라 개선사업
</t>
    </r>
    <r>
      <rPr>
        <sz val="10"/>
        <color rgb="FF0070C0"/>
        <rFont val="맑은 고딕"/>
        <family val="3"/>
        <charset val="129"/>
      </rPr>
      <t>박승준 : 09/26~</t>
    </r>
    <r>
      <rPr>
        <sz val="10"/>
        <rFont val="맑은 고딕"/>
        <family val="3"/>
        <charset val="129"/>
      </rPr>
      <t xml:space="preserve">
</t>
    </r>
    <r>
      <rPr>
        <sz val="10"/>
        <color rgb="FF0070C0"/>
        <rFont val="맑은 고딕"/>
        <family val="3"/>
        <charset val="129"/>
      </rPr>
      <t>고광종 : 안전관리자(사업기간)참여</t>
    </r>
    <phoneticPr fontId="10" type="noConversion"/>
  </si>
  <si>
    <t>P202500036</t>
  </si>
  <si>
    <t>93.5억</t>
    <phoneticPr fontId="10" type="noConversion"/>
  </si>
  <si>
    <t>수행중</t>
  </si>
  <si>
    <t>IT사업부문</t>
  </si>
  <si>
    <t>부사장</t>
    <phoneticPr fontId="10" type="noConversion"/>
  </si>
  <si>
    <t>고재석</t>
    <phoneticPr fontId="10" type="noConversion"/>
  </si>
  <si>
    <t>조상국 상무</t>
    <phoneticPr fontId="10" type="noConversion"/>
  </si>
  <si>
    <t xml:space="preserve">- 수행기간 : '25/09/26 ~ '26/12/28 
- 사업관리 지원 : 박승준책임
  안전관리 지원 : 고광종 이사
- 인천국제공항 - 라우터/Core/dist 백본스위치,집선스위치,무선 AP 구축사업
- 제1회 기성부분 완료보고서 작성
- 제 3차 반입검수 결과서 제출
- 엑세스 스위치 설치 진행 ( 201대 / 323대(62%) )
- 탑승동A 무선네트워크 설치 및 구성
  ○ 무선 AP 설치완료 (255대)
  ○ 탑승동 배터리 비콘 설치완료 (110대)
- 안전관리
  ○ 위험성평가 실시 규정 작성 및 투입인원 대상 위험성 평가 교육
  ○ 재해예방기술지도 지원 (정기, 매월 2회)
  ○ 안전점검회의록(TBM) 작성 및 진행 (정기, 매 작업일)
  ○ 산업안전보건관리 계획서 작성 및 사용 내역서 작성 (매월)
  ○ 안전보호구(안전모, 안전화, 안전장갑) 지급 관리
  ○ 안전보건수준평가를 문서 작성 및 대응 </t>
    <phoneticPr fontId="2" type="noConversion"/>
  </si>
  <si>
    <t>조양규</t>
    <phoneticPr fontId="10" type="noConversion"/>
  </si>
  <si>
    <t>책임
책임</t>
    <phoneticPr fontId="10" type="noConversion"/>
  </si>
  <si>
    <t>이운정
박윤승</t>
    <phoneticPr fontId="10" type="noConversion"/>
  </si>
  <si>
    <t>[우리투자증권]
보안 인프라 분리 구축 사업</t>
    <phoneticPr fontId="10" type="noConversion"/>
  </si>
  <si>
    <t>P202500041</t>
    <phoneticPr fontId="10" type="noConversion"/>
  </si>
  <si>
    <t>23.5억</t>
    <phoneticPr fontId="10" type="noConversion"/>
  </si>
  <si>
    <t>DIS본부</t>
  </si>
  <si>
    <t>하상문</t>
    <phoneticPr fontId="10" type="noConversion"/>
  </si>
  <si>
    <t>2025-11-14 15:00
(현장 제출)</t>
    <phoneticPr fontId="10" type="noConversion"/>
  </si>
  <si>
    <t>2025-11-21
14:30 ~</t>
    <phoneticPr fontId="10" type="noConversion"/>
  </si>
  <si>
    <t>조양규 이사</t>
    <phoneticPr fontId="10" type="noConversion"/>
  </si>
  <si>
    <t>- 수행기간 : '25/12/31 ~ '26/08/31
- 수행인원(3) : 조양규PM, 박윤승 책임, 이운정책임
- 주요 안건 협의
    ▷ Google 푸시 서버 및 Dooray Mail 연동 협의 및 확정 &gt; 인터넷망에 게이트웨이 구성 및 도메인 연동
- 구축/연동
  ○ 공통
    ▷ 인터넷망 방화벽 - 솔루션별 서비스 허용 정책 적용
    ▷ DMZ 영역에 Proxy 서버 구성(모바일 사용자 MFA/FIDO 인증)
    ▷ MFA/FIDO 인증앱 연동 완료
    ▷ Google 푸시 서버 정책 적용 및 테스트(5/28)
  ○ 통합결재시스템
    ▷ 사용자 UI 화면 개발 23건 시스템 적용 완료
    ▷ UI 수정 요청사항 및 결재 연동 API 개발 진행중(~6/26)
    ▷ HA 이중화 구성 완료
  ○ NAC/GPI
    ▷ 인터넷망 지사/지점 차단센서 4식 설치 완료
    ▷ GPI 서버 이전 완료(상암센터 4F-&gt;9F)
  ○ DRM
    ▷ 관리 웹 결함 업데이트 및 기본 정책 반영
  ○ 망연계시스템
    ▷ 솔루션 연계 정책 적용 및 테스트 &gt; PMS 패치, MFA/FIDO 인증, Google 푸시서버, 메일 연동
    ▷ 업무/개발망 파일전송 선 오픈 완료</t>
    <phoneticPr fontId="2" type="noConversion"/>
  </si>
  <si>
    <t xml:space="preserve">    ▷ 사용자 포털 접속용 SSL 인증서 적용
    ▷ 파일전송 커스터마이징 및 SSO 연동 API 개발 진행중(~6/26)
  ○ 계정관리/SSO/생체인증
    ▷ 망 간 인사정보 동기화 모듈 설치 및 동기화 정상 확인
    ▷ 공인/사설 도메인 확정 &gt; hus.wooriib.com(외부 MFA/FIDO), hus2.wooriib.com(내부 SSO)
    ▷ SSL 인증서 적용 및 도메인 테스트 완료
    ▷ 사용자 테이블 컬럼 추가 - EMAIL, MOBILE
    ▷ 알림 봇 연동
    ▷ 인터넷망 게이트웨이 구성 및 테스트 진행(5/28) &gt; Google 푸시 서버, Dooray Mail 연계
  ○ 유해차단시스템/NDLP
    ▷ 예외 정책 마이그레이션
    ▷ In-Line 전환 및 Fail-Over 테스트
    ▷ 유해사이트 차단 테스트
    ▷ 적용대상 정책 추가
    ▷ Dooray Mail 로그 제조사 분석 중
  ○ EndPoint DLP
    ▷ H/W 4식 상암센터 출고 및 S/W 업데이트
    ▷ 상암센터 입고 및 재설치
    ▷ 환경 재 설정 및 인사정보 연동
  ○ PMS
    ▷ 패치 파일 업데이트 및 망 간 동기화 구성</t>
    <phoneticPr fontId="2" type="noConversion"/>
  </si>
  <si>
    <t>수석</t>
  </si>
  <si>
    <t>이문희</t>
    <phoneticPr fontId="2" type="noConversion"/>
  </si>
  <si>
    <t>박선영
조승현</t>
    <phoneticPr fontId="2" type="noConversion"/>
  </si>
  <si>
    <r>
      <t xml:space="preserve">[제주국제자유도시개발센터] 
정보시스템 위탁운영 및 통합 유지보수 사업
</t>
    </r>
    <r>
      <rPr>
        <sz val="10"/>
        <color rgb="FF0070C0"/>
        <rFont val="맑은 고딕"/>
        <family val="3"/>
        <charset val="129"/>
      </rPr>
      <t>이문희 : 01/15~ 03/13
박선영,조승현 : 01/20~ 03/10</t>
    </r>
    <phoneticPr fontId="2" type="noConversion"/>
  </si>
  <si>
    <t>P2026001</t>
    <phoneticPr fontId="2" type="noConversion"/>
  </si>
  <si>
    <t>80.2억</t>
    <phoneticPr fontId="2" type="noConversion"/>
  </si>
  <si>
    <t>주사업</t>
    <phoneticPr fontId="2" type="noConversion"/>
  </si>
  <si>
    <t>제안완료</t>
  </si>
  <si>
    <t>전략사업1본부</t>
  </si>
  <si>
    <t>이사</t>
    <phoneticPr fontId="2" type="noConversion"/>
  </si>
  <si>
    <t>이명찬</t>
    <phoneticPr fontId="2" type="noConversion"/>
  </si>
  <si>
    <t>R26BK01297058
(26BD00164121)</t>
    <phoneticPr fontId="2" type="noConversion"/>
  </si>
  <si>
    <t>이문희 수석</t>
    <phoneticPr fontId="2" type="noConversion"/>
  </si>
  <si>
    <t>LOSS</t>
  </si>
  <si>
    <r>
      <rPr>
        <sz val="12"/>
        <color theme="1"/>
        <rFont val="맑은 고딕"/>
        <family val="3"/>
        <charset val="129"/>
      </rPr>
      <t>- 자체평가(기술90, 가격10)</t>
    </r>
    <r>
      <rPr>
        <sz val="12"/>
        <color rgb="FF0070C0"/>
        <rFont val="맑은 고딕"/>
        <family val="3"/>
        <charset val="129"/>
      </rPr>
      <t xml:space="preserve">
- 결과 : 시스원(기존사업자)수주,당사 2위, 시스게이트 3위</t>
    </r>
    <phoneticPr fontId="2" type="noConversion"/>
  </si>
  <si>
    <t>이광만</t>
    <phoneticPr fontId="2" type="noConversion"/>
  </si>
  <si>
    <t>수석
책임</t>
    <phoneticPr fontId="2" type="noConversion"/>
  </si>
  <si>
    <t>김찬호
정명용</t>
    <phoneticPr fontId="2" type="noConversion"/>
  </si>
  <si>
    <r>
      <t xml:space="preserve">[미래에셋자산운용] IDC이전사업
</t>
    </r>
    <r>
      <rPr>
        <sz val="10"/>
        <color rgb="FF0070C0"/>
        <rFont val="맑은 고딕"/>
        <family val="3"/>
        <charset val="129"/>
      </rPr>
      <t>이광만 : 01/30 ~ 02/10
정명용 : 01/30 ~ 02/09
김찬호 : 02/02 ~ 02/09</t>
    </r>
    <phoneticPr fontId="2" type="noConversion"/>
  </si>
  <si>
    <t>P2026002</t>
    <phoneticPr fontId="2" type="noConversion"/>
  </si>
  <si>
    <t>4억</t>
    <phoneticPr fontId="2" type="noConversion"/>
  </si>
  <si>
    <t>수석</t>
    <phoneticPr fontId="2" type="noConversion"/>
  </si>
  <si>
    <t>구민철</t>
    <phoneticPr fontId="2" type="noConversion"/>
  </si>
  <si>
    <t>2026-02-10
14:00</t>
    <phoneticPr fontId="2" type="noConversion"/>
  </si>
  <si>
    <t>박찬현 상무
(외부인력)</t>
    <phoneticPr fontId="2" type="noConversion"/>
  </si>
  <si>
    <t>WIN</t>
  </si>
  <si>
    <t>- 자체평가(기술70, 가격30)</t>
    <phoneticPr fontId="2" type="noConversion"/>
  </si>
  <si>
    <t>책임</t>
    <phoneticPr fontId="2" type="noConversion"/>
  </si>
  <si>
    <t>정명용</t>
    <phoneticPr fontId="2" type="noConversion"/>
  </si>
  <si>
    <r>
      <t xml:space="preserve">[한전산업개발]
빌링시스템 고도화 사업
</t>
    </r>
    <r>
      <rPr>
        <sz val="10"/>
        <color rgb="FF0070C0"/>
        <rFont val="맑은 고딕"/>
        <family val="3"/>
        <charset val="129"/>
      </rPr>
      <t>정명용 : 03/23 ~ 03/24</t>
    </r>
    <phoneticPr fontId="10" type="noConversion"/>
  </si>
  <si>
    <t>P2026003</t>
    <phoneticPr fontId="2" type="noConversion"/>
  </si>
  <si>
    <t>3.1억</t>
    <phoneticPr fontId="2" type="noConversion"/>
  </si>
  <si>
    <t>지원완료</t>
  </si>
  <si>
    <t>ICT사업부문</t>
  </si>
  <si>
    <t>- 수행기간 : '26/01/01 ~ '26/03/31
- 사업관리 지원(03/23~03/24)</t>
    <phoneticPr fontId="2" type="noConversion"/>
  </si>
  <si>
    <t>고광종</t>
    <phoneticPr fontId="2" type="noConversion"/>
  </si>
  <si>
    <r>
      <t xml:space="preserve">[감사원]
2026~2027년 감사원 정보인프라 유지관리 사업
</t>
    </r>
    <r>
      <rPr>
        <sz val="10"/>
        <color rgb="FF0070C0"/>
        <rFont val="맑은 고딕"/>
        <family val="3"/>
        <charset val="129"/>
      </rPr>
      <t>고광종, 정명용 : 02/19 ~ 3/12</t>
    </r>
    <phoneticPr fontId="10" type="noConversion"/>
  </si>
  <si>
    <t>P2026004</t>
    <phoneticPr fontId="2" type="noConversion"/>
  </si>
  <si>
    <t>23억</t>
    <phoneticPr fontId="2" type="noConversion"/>
  </si>
  <si>
    <t>DROP</t>
  </si>
  <si>
    <t>R26BK01352918
(R26BD00182827)</t>
    <phoneticPr fontId="2" type="noConversion"/>
  </si>
  <si>
    <t>별도 통보</t>
    <phoneticPr fontId="2" type="noConversion"/>
  </si>
  <si>
    <t>이길주 이사</t>
    <phoneticPr fontId="2" type="noConversion"/>
  </si>
  <si>
    <r>
      <t xml:space="preserve">- 자체평가(기술90), 조달청평가(가격10)
- 제안인원 : 고광종이사(제안PM),이길주이사(PM), 고현종수석, 정명용책임
</t>
    </r>
    <r>
      <rPr>
        <sz val="12"/>
        <color rgb="FFFF0000"/>
        <rFont val="맑은 고딕"/>
        <family val="3"/>
        <charset val="129"/>
      </rPr>
      <t>- 차등점수제 적용</t>
    </r>
    <r>
      <rPr>
        <sz val="12"/>
        <color rgb="FF0070C0"/>
        <rFont val="맑은 고딕"/>
        <family val="3"/>
        <charset val="129"/>
      </rPr>
      <t xml:space="preserve">
- 수익성 문제로 최종 drop 결정 (2026.3.12)</t>
    </r>
    <phoneticPr fontId="2" type="noConversion"/>
  </si>
  <si>
    <t>김찬호</t>
    <phoneticPr fontId="2" type="noConversion"/>
  </si>
  <si>
    <r>
      <t xml:space="preserve">[한국해양진흥공사]
26년~29년 정보시스템 통합 유지보수 용역
</t>
    </r>
    <r>
      <rPr>
        <sz val="10"/>
        <color rgb="FF0070C0"/>
        <rFont val="맑은 고딕"/>
        <family val="3"/>
        <charset val="129"/>
      </rPr>
      <t>이광만 : 02/19 ~ 03/26 
김찬호 : 02/19 ~ 03/17</t>
    </r>
    <phoneticPr fontId="2" type="noConversion"/>
  </si>
  <si>
    <t>P2026005</t>
    <phoneticPr fontId="2" type="noConversion"/>
  </si>
  <si>
    <t>119억</t>
    <phoneticPr fontId="2" type="noConversion"/>
  </si>
  <si>
    <t>상무</t>
    <phoneticPr fontId="2" type="noConversion"/>
  </si>
  <si>
    <t>이충렬</t>
    <phoneticPr fontId="2" type="noConversion"/>
  </si>
  <si>
    <t>R26BK01347842
(R26BD00172022)</t>
    <phoneticPr fontId="2" type="noConversion"/>
  </si>
  <si>
    <t>2026-03-18
10:00</t>
    <phoneticPr fontId="2" type="noConversion"/>
  </si>
  <si>
    <t>2026-03-26
16:00</t>
    <phoneticPr fontId="2" type="noConversion"/>
  </si>
  <si>
    <t>이병윤 이사
(외부인력)</t>
    <phoneticPr fontId="2" type="noConversion"/>
  </si>
  <si>
    <t>- 현재 KL-net 유지보수 중
- 결과: KL-net(現유지보수) 수주, 당사 2위, 글로벌텔레콤 3위, 트루본 4위, 케이원 5위</t>
  </si>
  <si>
    <t>조재훈</t>
    <phoneticPr fontId="2" type="noConversion"/>
  </si>
  <si>
    <r>
      <t xml:space="preserve">[신한은행]
Endpoint 위협식별 및 탐지역량 강화를 위한
EDR시스템 구축
</t>
    </r>
    <r>
      <rPr>
        <sz val="10"/>
        <color rgb="FF0070C0"/>
        <rFont val="맑은 고딕"/>
        <family val="3"/>
        <charset val="129"/>
      </rPr>
      <t>심우정 : 02/27 ~ 03/13
조재훈 : 02/27 ~ 03/13</t>
    </r>
    <phoneticPr fontId="2" type="noConversion"/>
  </si>
  <si>
    <t>P2026006</t>
  </si>
  <si>
    <t>9.1억/5년</t>
    <phoneticPr fontId="2" type="noConversion"/>
  </si>
  <si>
    <t>하상문</t>
    <phoneticPr fontId="2" type="noConversion"/>
  </si>
  <si>
    <t>전병구 이사
(IQ팀)</t>
    <phoneticPr fontId="29" type="noConversion"/>
  </si>
  <si>
    <t>- 자체평가 (당사 CybeReason)
- BMT기간 : 03/16~04/10 (BMT통과)
- 결과: 당사 수주(04/22), 수행 IQ팀</t>
  </si>
  <si>
    <r>
      <t xml:space="preserve">[삼성카드] IT자산 위험 관리시스템 구축
</t>
    </r>
    <r>
      <rPr>
        <sz val="10"/>
        <color rgb="FF0070C0"/>
        <rFont val="맑은 고딕"/>
        <family val="3"/>
        <charset val="129"/>
      </rPr>
      <t>이광만 : 03/23 ~ 03/25</t>
    </r>
    <phoneticPr fontId="2" type="noConversion"/>
  </si>
  <si>
    <t>P2026007</t>
    <phoneticPr fontId="2" type="noConversion"/>
  </si>
  <si>
    <t>4.95억/년</t>
    <phoneticPr fontId="2" type="noConversion"/>
  </si>
  <si>
    <t>김용중</t>
    <phoneticPr fontId="2" type="noConversion"/>
  </si>
  <si>
    <t>2026-03-25
16:30</t>
    <phoneticPr fontId="2" type="noConversion"/>
  </si>
  <si>
    <t>이광만 이사
/고광종 이사</t>
    <phoneticPr fontId="2" type="noConversion"/>
  </si>
  <si>
    <t>- 퀄리스 구축(2개월) + 웹포탈 개발(6개월)
- 사업기간 : 06/05 ~ 12/16
- Qualys 솔루션 설치 + 관리 Portal 개발</t>
    <phoneticPr fontId="2" type="noConversion"/>
  </si>
  <si>
    <t>조재훈</t>
  </si>
  <si>
    <r>
      <t xml:space="preserve">[저축은행중앙회] 사이버 위협 대응 내외부
통합 보안 인프라 구축 사업
</t>
    </r>
    <r>
      <rPr>
        <sz val="10"/>
        <color rgb="FF0070C0"/>
        <rFont val="맑은 고딕"/>
        <family val="3"/>
        <charset val="129"/>
      </rPr>
      <t xml:space="preserve">심우정 : 03/23 ~ 04/06
조재훈 : 03/23 ~ 04/06
박선영, 정명용 : 03/24 ~ 04/06 </t>
    </r>
    <phoneticPr fontId="2" type="noConversion"/>
  </si>
  <si>
    <t>P2026008</t>
  </si>
  <si>
    <t>5억</t>
    <phoneticPr fontId="2" type="noConversion"/>
  </si>
  <si>
    <t>박태민</t>
    <phoneticPr fontId="2" type="noConversion"/>
  </si>
  <si>
    <t>2026-04-08</t>
    <phoneticPr fontId="2" type="noConversion"/>
  </si>
  <si>
    <t>- 자체평가
- 당사 퀄리스 VMDR, 사이버리즌 EDR, MLsoft-원격접속 시스템 SDP
- 경쟁사 : 당사 RFP작업으로 경쟁우위 단독
- 제안 발표 : 4월 22일 (전병구 팀장) / 우선협상대상자 선정 완료</t>
    <phoneticPr fontId="2" type="noConversion"/>
  </si>
  <si>
    <t>심우정</t>
    <phoneticPr fontId="2" type="noConversion"/>
  </si>
  <si>
    <r>
      <t xml:space="preserve">[삼성증권] IT자산 위험관리 시스템 구축
</t>
    </r>
    <r>
      <rPr>
        <sz val="10"/>
        <color rgb="FF0070C0"/>
        <rFont val="맑은 고딕"/>
        <family val="3"/>
        <charset val="129"/>
      </rPr>
      <t>심우정 : 03/31 ~ 4/09
이광만 : 04/04~04/06</t>
    </r>
    <phoneticPr fontId="2" type="noConversion"/>
  </si>
  <si>
    <t>P2026009</t>
    <phoneticPr fontId="2" type="noConversion"/>
  </si>
  <si>
    <t>9억</t>
    <phoneticPr fontId="2" type="noConversion"/>
  </si>
  <si>
    <t>이희철</t>
    <phoneticPr fontId="2" type="noConversion"/>
  </si>
  <si>
    <t>2026-04-09</t>
    <phoneticPr fontId="2" type="noConversion"/>
  </si>
  <si>
    <t>심우정 이사</t>
    <phoneticPr fontId="2" type="noConversion"/>
  </si>
  <si>
    <t>- 퀄리스 구축 + 웹포탈 개발 사업기간 : 7월 ~ 12월 31일(6개월)
- PM 상주(삼성증권 PMO조직 대응)
- 4월 22일 : 우선협상대상자 선정에 따른 고객 1차 미팅 
- 6월 19일 ~ 23일 : 삼성증권 투자심의 완료(19일), 업체 등록 완료(23일), 계약은 7월 중 예정
- 7월 06일 : 삼성증권 여의도 KT빌딩 상주 시작</t>
    <phoneticPr fontId="2" type="noConversion"/>
  </si>
  <si>
    <t>김찬호
박선영</t>
    <phoneticPr fontId="2" type="noConversion"/>
  </si>
  <si>
    <r>
      <t xml:space="preserve">[서울특별시 노원구]
2026년 정보통신장비 교체 및 보강 계약(긴급)
</t>
    </r>
    <r>
      <rPr>
        <sz val="10"/>
        <color rgb="FF0070C0"/>
        <rFont val="맑은 고딕"/>
        <family val="3"/>
        <charset val="129"/>
      </rPr>
      <t xml:space="preserve">이광만 : 04/06 ~ 04/13
김찬호, 박선영 : 04/06 ~ 04/13 </t>
    </r>
    <phoneticPr fontId="2" type="noConversion"/>
  </si>
  <si>
    <t>P2026010</t>
  </si>
  <si>
    <t>5.1억</t>
    <phoneticPr fontId="2" type="noConversion"/>
  </si>
  <si>
    <t>IT사업부문</t>
    <phoneticPr fontId="2" type="noConversion"/>
  </si>
  <si>
    <t>정해영</t>
    <phoneticPr fontId="2" type="noConversion"/>
  </si>
  <si>
    <r>
      <rPr>
        <b/>
        <sz val="12"/>
        <color rgb="FF000000"/>
        <rFont val="맑은 고딕"/>
        <family val="3"/>
        <charset val="129"/>
      </rPr>
      <t>R26BK01442704</t>
    </r>
    <r>
      <rPr>
        <sz val="12"/>
        <color rgb="FF000000"/>
        <rFont val="맑은 고딕"/>
        <family val="3"/>
        <charset val="129"/>
      </rPr>
      <t xml:space="preserve">
(R26BD00202299)</t>
    </r>
    <phoneticPr fontId="2" type="noConversion"/>
  </si>
  <si>
    <t>홍성용 이사
(IT사업부문)</t>
    <phoneticPr fontId="2" type="noConversion"/>
  </si>
  <si>
    <t>- 자체평가(기술9:가격1) 
- POE스위치 65대(24P-23대, 48P 42대), 백본 파워 4개, 백본 라인카드 2개, 인터넷전화기 30대
- 04/13 제안자료 전달</t>
    <phoneticPr fontId="2" type="noConversion"/>
  </si>
  <si>
    <t>책임
책임</t>
    <phoneticPr fontId="2" type="noConversion"/>
  </si>
  <si>
    <t>정명용
조승현</t>
    <phoneticPr fontId="2" type="noConversion"/>
  </si>
  <si>
    <r>
      <t xml:space="preserve">[하나은행]
차세대 디도스(DDoS) 방어 장비 도입
</t>
    </r>
    <r>
      <rPr>
        <sz val="10"/>
        <color rgb="FF0070C0"/>
        <rFont val="맑은 고딕"/>
        <family val="3"/>
        <charset val="129"/>
      </rPr>
      <t>조재훈 : 04/06 ~ 04/23
정명용, 조승현 : 04/06 ~ 04/13</t>
    </r>
    <phoneticPr fontId="2" type="noConversion"/>
  </si>
  <si>
    <t>P2026011</t>
  </si>
  <si>
    <t>15억</t>
  </si>
  <si>
    <t>2026-04-22</t>
  </si>
  <si>
    <t>조재훈 이사</t>
    <phoneticPr fontId="2" type="noConversion"/>
  </si>
  <si>
    <t>- 코닉오토메이션&gt; CMT &gt; 하나은행
- 재공고사유: 상상인이 참여예정이였으나 제1,2금융권 DDoS납품 실적없음
- 제안품목 : Radware 메인센터 3대 , DR은 추후 진행(3대)
- 경쟁 업체: 에스피정보(Arbor)
- 기술 및 제안 부분은 코닉오토에서 작성하며, BMT: 4/16, 제안발표: 4/22, 
- 결과: 에스피정보 수주, 당사 2위</t>
  </si>
  <si>
    <t>박선영</t>
    <phoneticPr fontId="2" type="noConversion"/>
  </si>
  <si>
    <r>
      <t xml:space="preserve">[경기도여성가족재단]
이전청사 전산실 환경구축
</t>
    </r>
    <r>
      <rPr>
        <sz val="10"/>
        <color rgb="FF0070C0"/>
        <rFont val="맑은 고딕"/>
        <family val="3"/>
        <charset val="129"/>
      </rPr>
      <t>박선영 : 04/23 ~ 04/24</t>
    </r>
    <phoneticPr fontId="2" type="noConversion"/>
  </si>
  <si>
    <t>P2026012</t>
    <phoneticPr fontId="2" type="noConversion"/>
  </si>
  <si>
    <t>3.5억</t>
    <phoneticPr fontId="2" type="noConversion"/>
  </si>
  <si>
    <t>김용호</t>
    <phoneticPr fontId="2" type="noConversion"/>
  </si>
  <si>
    <t>전철완 이사
(촉탁)</t>
    <phoneticPr fontId="2" type="noConversion"/>
  </si>
  <si>
    <t>업무이관</t>
  </si>
  <si>
    <t xml:space="preserve">- 일반현황 및 인력부분 작성지원 요청 (4월23~24일 작성후 제공 완료)
- 촉탁 전철완이사 제안서 작성 </t>
    <phoneticPr fontId="2" type="noConversion"/>
  </si>
  <si>
    <t>이도원</t>
    <phoneticPr fontId="2" type="noConversion"/>
  </si>
  <si>
    <r>
      <t xml:space="preserve">[한국평가데이터]
한국평가데이터 망분리 고도화사업 사전 지원
</t>
    </r>
    <r>
      <rPr>
        <sz val="10"/>
        <color rgb="FF0070C0"/>
        <rFont val="맑은 고딕"/>
        <family val="3"/>
        <charset val="129"/>
      </rPr>
      <t>이도원 : 05/06 ~</t>
    </r>
    <phoneticPr fontId="2" type="noConversion"/>
  </si>
  <si>
    <t>P2026013</t>
    <phoneticPr fontId="2" type="noConversion"/>
  </si>
  <si>
    <t>업무지원</t>
  </si>
  <si>
    <t>- 05/11 13:00 U+ 도입제품관련 회의
- 7월중 사업공고, 사업기간 8월 ~ 11월 (4개월) 사업예상</t>
    <phoneticPr fontId="2" type="noConversion"/>
  </si>
  <si>
    <t>정명용
박선영</t>
    <phoneticPr fontId="2" type="noConversion"/>
  </si>
  <si>
    <r>
      <t xml:space="preserve">[서울보증보험]
정보보호 예방체계 강화사업
</t>
    </r>
    <r>
      <rPr>
        <sz val="10"/>
        <color rgb="FF0070C0"/>
        <rFont val="맑은 고딕"/>
        <family val="3"/>
        <charset val="129"/>
      </rPr>
      <t>이광만 : 05/08 ~ 05/27
정명용, 박선영 : 05/12 ~ 05/22</t>
    </r>
    <phoneticPr fontId="2" type="noConversion"/>
  </si>
  <si>
    <t>P2026014</t>
    <phoneticPr fontId="2" type="noConversion"/>
  </si>
  <si>
    <t>8.5억/5년</t>
    <phoneticPr fontId="2" type="noConversion"/>
  </si>
  <si>
    <t>이광만 이사</t>
    <phoneticPr fontId="2" type="noConversion"/>
  </si>
  <si>
    <t>- 퀄리스, Ground Labs(다크웹 모니터링), 소만사 (Server-i) 구축 및 ITMS 연동 개발</t>
    <phoneticPr fontId="2" type="noConversion"/>
  </si>
  <si>
    <r>
      <t xml:space="preserve">[저축은행중앙회] 
통합금융정보시스템(IFIS) 차세대 구축 및 전산장비 통합유지보수
</t>
    </r>
    <r>
      <rPr>
        <sz val="10"/>
        <color rgb="FF0070C0"/>
        <rFont val="맑은 고딕"/>
        <family val="3"/>
        <charset val="129"/>
      </rPr>
      <t>김찬호 : 05/12 ~ 05/17 , 06/03 ~ 06/23</t>
    </r>
    <phoneticPr fontId="2" type="noConversion"/>
  </si>
  <si>
    <t>P2026015</t>
    <phoneticPr fontId="2" type="noConversion"/>
  </si>
  <si>
    <t>미정</t>
    <phoneticPr fontId="2" type="noConversion"/>
  </si>
  <si>
    <t>협력사</t>
    <phoneticPr fontId="2" type="noConversion"/>
  </si>
  <si>
    <t>제안진행</t>
  </si>
  <si>
    <t>- 저축은행중앙회 차세대구축사업(500억규모)-협력사 참여(자체평가)
 - SK-AX 단독응찰 예상
- 구축 솔루션
   SIEM : IBM Qrader SIEM (협상 후 금액 이슈 시 시큐레이어 변경 가능)
   SOAR : IBM Qrader SOAR (협상 후 금액 이슈 시 시큐레이어 변경 가능)
   CDR : 시큐레터 CDR (벤더 변경없음)
   방화벽 : 포티넷 (벤더 변경없음, 협상 후 금액 이슈 시 모델 또는 수량 변경 가능) 
   보안관제 영역 : 예상 파견인력12명 (협상 후 금액 이슈 시 파견인력 수 변동 가능)</t>
    <phoneticPr fontId="2" type="noConversion"/>
  </si>
  <si>
    <r>
      <rPr>
        <sz val="12"/>
        <color rgb="FF000000"/>
        <rFont val="맑은 고딕"/>
        <family val="3"/>
        <charset val="129"/>
      </rPr>
      <t xml:space="preserve">[신한은행]
무인점포/영업점 노후 VPN 교체 사업
</t>
    </r>
    <r>
      <rPr>
        <sz val="10"/>
        <color rgb="FF0070C0"/>
        <rFont val="맑은 고딕"/>
        <family val="3"/>
        <charset val="129"/>
      </rPr>
      <t>조재훈 : 05/18 ~ 06/04
김찬호 : 05/18 ~ 06/02</t>
    </r>
  </si>
  <si>
    <t>P2026016</t>
    <phoneticPr fontId="2" type="noConversion"/>
  </si>
  <si>
    <t>- 당사 제안 제품 : Fortinet VPN
- 자체평가(기술80, 가격20) : 현장 발표
- 제안총괄 및 수행담당(기술1&amp;3본부 협업) 
- 제안발표(PT)지원 - PMO본부
- 경쟁사: 에스넷(엑스게이트 VPN), 케이에스넥스지(넥스지 VPN)
- 제안 진행 현황
○ 제안서 템플릿 및 초안 작성: 5/18 ~ 5/26
○ 제안서 1차 리뷰(5/27)
○ 제안서 최종 리뷰 및 제안 발표본 1차 리뷰(5/29)
○ 제안 발표본 최종 리뷰(6/1)
○ 제안서 제출 및 발표 리허설(6/2 15:00~)
○ 제안 발표(6/4 14:00 ~)</t>
    <phoneticPr fontId="2" type="noConversion"/>
  </si>
  <si>
    <r>
      <t xml:space="preserve">[예다함상조]
망분리 사업
</t>
    </r>
    <r>
      <rPr>
        <sz val="10"/>
        <color rgb="FF0070C0"/>
        <rFont val="맑은 고딕"/>
        <family val="3"/>
        <charset val="129"/>
      </rPr>
      <t>이도원 : 05/27 ~ 06/01</t>
    </r>
    <phoneticPr fontId="2" type="noConversion"/>
  </si>
  <si>
    <t>P2026017</t>
    <phoneticPr fontId="2" type="noConversion"/>
  </si>
  <si>
    <t>20억</t>
    <phoneticPr fontId="2" type="noConversion"/>
  </si>
  <si>
    <t>AICC본부</t>
  </si>
  <si>
    <t>성준호</t>
    <phoneticPr fontId="2" type="noConversion"/>
  </si>
  <si>
    <t>- LG U+(회선사업자) 투자 사업으로 경쟁입찰 예정
- NAC/DLP/VDI 등 망분리/망연계
- 사업기간 2026년 7월~2026년 12월  예상
- 06/01 고객사방문 망분리 사업 개념 설명회의(이도원책임)</t>
    <phoneticPr fontId="2" type="noConversion"/>
  </si>
  <si>
    <t>조승현</t>
    <phoneticPr fontId="2" type="noConversion"/>
  </si>
  <si>
    <r>
      <t xml:space="preserve">[인천국제공항공사]
AI 사이버보안시스템 구축사업
</t>
    </r>
    <r>
      <rPr>
        <sz val="10"/>
        <color rgb="FF0070C0"/>
        <rFont val="맑은 고딕"/>
        <family val="3"/>
        <charset val="129"/>
      </rPr>
      <t>조승현 : 05/28 ~ 06/09</t>
    </r>
    <r>
      <rPr>
        <sz val="12"/>
        <rFont val="맑은 고딕"/>
        <family val="3"/>
        <charset val="129"/>
      </rPr>
      <t xml:space="preserve">
</t>
    </r>
    <r>
      <rPr>
        <sz val="10"/>
        <color rgb="FF0070C0"/>
        <rFont val="맑은 고딕"/>
        <family val="3"/>
        <charset val="129"/>
      </rPr>
      <t>정명용 : 06/02 ~ 06/09</t>
    </r>
    <phoneticPr fontId="2" type="noConversion"/>
  </si>
  <si>
    <t>P2026018</t>
    <phoneticPr fontId="2" type="noConversion"/>
  </si>
  <si>
    <t>28.8억</t>
    <phoneticPr fontId="2" type="noConversion"/>
  </si>
  <si>
    <t>R26BK01502521
(R26BD00172117)</t>
    <phoneticPr fontId="2" type="noConversion"/>
  </si>
  <si>
    <t>결과대기</t>
  </si>
  <si>
    <t>- 자체평가(기술90, 가격10)
- SIEM&amp;SOAR(SIEM노후교체-당사 기존 시큐레이어 제안) 및 
  EDR(안랩 or 지니안), AI DLP(소만사) 구축사업</t>
    <phoneticPr fontId="2" type="noConversion"/>
  </si>
  <si>
    <r>
      <t xml:space="preserve">[미래에셋자산운용] 네트워크 장비 유지보수
</t>
    </r>
    <r>
      <rPr>
        <sz val="10"/>
        <color rgb="FF0070C0"/>
        <rFont val="맑은 고딕"/>
        <family val="3"/>
        <charset val="129"/>
      </rPr>
      <t xml:space="preserve"> 박선영 : 06/11 ~ 06/11</t>
    </r>
    <phoneticPr fontId="2" type="noConversion"/>
  </si>
  <si>
    <t>P2026019</t>
  </si>
  <si>
    <t>0.3억</t>
  </si>
  <si>
    <t>- 3개의 업체 기술50%+가격 50%로 미래에셋자산운용의 자체평가
- PMO본부는 정량적 자료 및 참고 제안자료 제공</t>
  </si>
  <si>
    <r>
      <t xml:space="preserve">[HMM] 글로벌 네트워크 허브 보안장비 서비스 
</t>
    </r>
    <r>
      <rPr>
        <sz val="10"/>
        <color rgb="FF0070C0"/>
        <rFont val="맑은 고딕"/>
        <family val="3"/>
        <charset val="129"/>
      </rPr>
      <t xml:space="preserve"> 박선영 : 06/12 ~ 06/12</t>
    </r>
    <phoneticPr fontId="2" type="noConversion"/>
  </si>
  <si>
    <t>P2026020</t>
  </si>
  <si>
    <t>0.88억</t>
  </si>
  <si>
    <t>김재혁</t>
    <phoneticPr fontId="2" type="noConversion"/>
  </si>
  <si>
    <t>- 06/19 제안서 마감 / 발표는 없을것으로 예상 (포티게이트 장비)
- PMO본부는 정량적 자료 및 참고 제안자료 제공</t>
  </si>
  <si>
    <r>
      <t xml:space="preserve">[한전산업개발] 인터넷빌링시스템 유지보수
</t>
    </r>
    <r>
      <rPr>
        <sz val="10"/>
        <color rgb="FF0070C0"/>
        <rFont val="맑은 고딕"/>
        <family val="3"/>
        <charset val="129"/>
      </rPr>
      <t xml:space="preserve">이문희, 박선영 : 06/22 ~ </t>
    </r>
    <phoneticPr fontId="2" type="noConversion"/>
  </si>
  <si>
    <t>P2026021</t>
    <phoneticPr fontId="2" type="noConversion"/>
  </si>
  <si>
    <t>1.5억</t>
    <phoneticPr fontId="2" type="noConversion"/>
  </si>
  <si>
    <t>정영덕</t>
    <phoneticPr fontId="2" type="noConversion"/>
  </si>
  <si>
    <t>- 자체평가
   이행실적(30) + 기술수준평가(10) + 경영상태(30) + 입찰가격(30)</t>
    <phoneticPr fontId="2" type="noConversion"/>
  </si>
  <si>
    <t>PMO본부 인원 현황</t>
    <phoneticPr fontId="10" type="noConversion"/>
  </si>
  <si>
    <t>총원
(제안/수행)</t>
    <phoneticPr fontId="10" type="noConversion"/>
  </si>
  <si>
    <t>투입인원</t>
    <phoneticPr fontId="10" type="noConversion"/>
  </si>
  <si>
    <t>교육/기타</t>
    <phoneticPr fontId="10" type="noConversion"/>
  </si>
  <si>
    <t>사업지원
가용인원</t>
    <phoneticPr fontId="10" type="noConversion"/>
  </si>
  <si>
    <t xml:space="preserve"> ○ 수행인원 : 11명(서울교통공사 4명, 대법원 2명, 인천공항공사 2명, 우리투자증권 3명)
 ○ 제안인원 : 0명</t>
    <phoneticPr fontId="10" type="noConversion"/>
  </si>
  <si>
    <t>프로젝트명</t>
    <phoneticPr fontId="2" type="noConversion"/>
  </si>
  <si>
    <t>프로젝트 코드</t>
    <phoneticPr fontId="2" type="noConversion"/>
  </si>
  <si>
    <t>상태</t>
    <phoneticPr fontId="2" type="noConversion"/>
  </si>
  <si>
    <t>확도</t>
    <phoneticPr fontId="2" type="noConversion"/>
  </si>
  <si>
    <t>영업부서</t>
    <phoneticPr fontId="2" type="noConversion"/>
  </si>
  <si>
    <t>영업대표</t>
    <phoneticPr fontId="2" type="noConversion"/>
  </si>
  <si>
    <t>지원담당 총괄</t>
    <phoneticPr fontId="2" type="noConversion"/>
  </si>
  <si>
    <t>from</t>
    <phoneticPr fontId="2" type="noConversion"/>
  </si>
  <si>
    <t>to</t>
    <phoneticPr fontId="2" type="noConversion"/>
  </si>
  <si>
    <t>제주국제자유도시개발센터  정보시스템 위탁운영 및 통합 유지보수 사업</t>
    <phoneticPr fontId="2" type="noConversion"/>
  </si>
  <si>
    <t>실주</t>
    <phoneticPr fontId="2" type="noConversion"/>
  </si>
  <si>
    <t>경쟁</t>
    <phoneticPr fontId="2" type="noConversion"/>
  </si>
  <si>
    <t>전략사업1본부</t>
    <phoneticPr fontId="2" type="noConversion"/>
  </si>
  <si>
    <t>이명찬 이사</t>
    <phoneticPr fontId="2" type="noConversion"/>
  </si>
  <si>
    <t>미래에셋자산운용 IDC이전사업</t>
    <phoneticPr fontId="2" type="noConversion"/>
  </si>
  <si>
    <t>P2026002</t>
  </si>
  <si>
    <t>수주</t>
    <phoneticPr fontId="2" type="noConversion"/>
  </si>
  <si>
    <t>구민청 수석</t>
    <phoneticPr fontId="2" type="noConversion"/>
  </si>
  <si>
    <t>한전산업개발 빌링시스템 고도화 사업</t>
    <phoneticPr fontId="2" type="noConversion"/>
  </si>
  <si>
    <t>완료</t>
    <phoneticPr fontId="2" type="noConversion"/>
  </si>
  <si>
    <t>ICT사업부문</t>
    <phoneticPr fontId="2" type="noConversion"/>
  </si>
  <si>
    <t>정영덕 이사</t>
    <phoneticPr fontId="2" type="noConversion"/>
  </si>
  <si>
    <t>정명용 책임</t>
    <phoneticPr fontId="2" type="noConversion"/>
  </si>
  <si>
    <t>감사원 2026년~2027년 감사원 정보인프라 유지관리 사업(2년)</t>
    <phoneticPr fontId="2" type="noConversion"/>
  </si>
  <si>
    <t>Drop</t>
    <phoneticPr fontId="2" type="noConversion"/>
  </si>
  <si>
    <t>김형기 이사</t>
    <phoneticPr fontId="2" type="noConversion"/>
  </si>
  <si>
    <t>한국해양진흥공사 ’26~’29년 정보시스템 통합 유지보수 용역(3년)</t>
    <phoneticPr fontId="2" type="noConversion"/>
  </si>
  <si>
    <t>이충렬 상무</t>
    <phoneticPr fontId="2" type="noConversion"/>
  </si>
  <si>
    <t>신한은행 Endpoint 위협식별 및 탐지역량 강화를 위한 EDR시스템 구축</t>
    <phoneticPr fontId="2" type="noConversion"/>
  </si>
  <si>
    <t>P2026006</t>
    <phoneticPr fontId="2" type="noConversion"/>
  </si>
  <si>
    <t>DIS본부</t>
    <phoneticPr fontId="2" type="noConversion"/>
  </si>
  <si>
    <t>하상문 이사</t>
    <phoneticPr fontId="2" type="noConversion"/>
  </si>
  <si>
    <t>삼성카드 IT자산 위험 관리시스템 구축</t>
    <phoneticPr fontId="2" type="noConversion"/>
  </si>
  <si>
    <t>김용중 수석</t>
    <phoneticPr fontId="2" type="noConversion"/>
  </si>
  <si>
    <t>저축은행중앙회 사이버 위협 대응 내외부 통합 보안 인프라 구축 사업</t>
    <phoneticPr fontId="2" type="noConversion"/>
  </si>
  <si>
    <t>P2026008</t>
    <phoneticPr fontId="2" type="noConversion"/>
  </si>
  <si>
    <t>단독</t>
    <phoneticPr fontId="2" type="noConversion"/>
  </si>
  <si>
    <t>박태민 수석</t>
    <phoneticPr fontId="2" type="noConversion"/>
  </si>
  <si>
    <t>삼성증권 IT자산 위험관리 시스템 구축</t>
    <phoneticPr fontId="2" type="noConversion"/>
  </si>
  <si>
    <t>P2026009</t>
  </si>
  <si>
    <t>이희철 책임</t>
    <phoneticPr fontId="2" type="noConversion"/>
  </si>
  <si>
    <t>노원구 2026년 정보통신장비 교체 및 보강 계약(긴급)</t>
    <phoneticPr fontId="2" type="noConversion"/>
  </si>
  <si>
    <t>수주</t>
  </si>
  <si>
    <t>정해영 책임</t>
    <phoneticPr fontId="2" type="noConversion"/>
  </si>
  <si>
    <t>하나은행 차세대 디도스(DDoS) 방어 장비 도입</t>
    <phoneticPr fontId="2" type="noConversion"/>
  </si>
  <si>
    <t>실주</t>
  </si>
  <si>
    <t>경기도여성가족재단 이전청사 전산실 환경구축</t>
    <phoneticPr fontId="2" type="noConversion"/>
  </si>
  <si>
    <t>P2026012</t>
  </si>
  <si>
    <t>김용호 수석</t>
    <phoneticPr fontId="2" type="noConversion"/>
  </si>
  <si>
    <t>박선영 책임</t>
    <phoneticPr fontId="2" type="noConversion"/>
  </si>
  <si>
    <t>한국평가데이터 망분리 고도화사업</t>
    <phoneticPr fontId="2" type="noConversion"/>
  </si>
  <si>
    <t>제안</t>
  </si>
  <si>
    <t>이도원 책임</t>
    <phoneticPr fontId="2" type="noConversion"/>
  </si>
  <si>
    <t>서울보증보험 정보보호 예방체계 강화사업</t>
    <phoneticPr fontId="2" type="noConversion"/>
  </si>
  <si>
    <t>P2026014</t>
  </si>
  <si>
    <t>김용중 이사</t>
    <phoneticPr fontId="2" type="noConversion"/>
  </si>
  <si>
    <t>저축은행중앙회 통합금융정보시스템(IFIS) 차세대 구축 및 전산장비 통합유지보수</t>
    <phoneticPr fontId="2" type="noConversion"/>
  </si>
  <si>
    <t>P2026015</t>
  </si>
  <si>
    <t>신한은행 무인점포/영업점 노후 VPN 교체 사업</t>
    <phoneticPr fontId="2" type="noConversion"/>
  </si>
  <si>
    <t>P2026016</t>
  </si>
  <si>
    <t>예다함상조 망분리 제안(가칭)</t>
    <phoneticPr fontId="2" type="noConversion"/>
  </si>
  <si>
    <t>AICC사업본부</t>
    <phoneticPr fontId="2" type="noConversion"/>
  </si>
  <si>
    <t>성준호 책임</t>
    <phoneticPr fontId="2" type="noConversion"/>
  </si>
  <si>
    <t>인천국제공항공사 AI 사이버보안시스템 구축사업</t>
    <phoneticPr fontId="2" type="noConversion"/>
  </si>
  <si>
    <t>고재석 부사장</t>
    <phoneticPr fontId="2" type="noConversion"/>
  </si>
  <si>
    <t>조승현 책임</t>
    <phoneticPr fontId="2" type="noConversion"/>
  </si>
  <si>
    <t>미래에셋자산운용 네트워크 장비 유지보수</t>
    <phoneticPr fontId="2" type="noConversion"/>
  </si>
  <si>
    <t>구민철 수석</t>
  </si>
  <si>
    <t xml:space="preserve">HMM 글로벌 네트워크 허브 보안장비 서비스 </t>
    <phoneticPr fontId="2" type="noConversion"/>
  </si>
  <si>
    <t>김재혁 책임</t>
  </si>
  <si>
    <t>한전산업개발 인터넷빌링시스템 유지보수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</si>
</sst>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</font>
    <font>
      <sz val="12"/>
      <color rgb="FF0070C0"/>
      <name val="맑은 고딕"/>
      <family val="3"/>
      <charset val="129"/>
    </font>
    <font>
      <sz val="12"/>
      <name val="맑은 고딕"/>
      <family val="2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2"/>
      <name val="맑은 고딕"/>
      <family val="3"/>
    </font>
    <font>
      <sz val="12"/>
      <color theme="1"/>
      <name val="맑은 고딕"/>
      <family val="3"/>
    </font>
    <font>
      <sz val="12"/>
      <color rgb="FFFF0000"/>
      <name val="맑은 고딕"/>
      <family val="3"/>
      <charset val="129"/>
    </font>
    <font>
      <sz val="8"/>
      <name val="맑은 고딕"/>
      <family val="2"/>
      <charset val="129"/>
    </font>
    <font>
      <sz val="12"/>
      <color rgb="FF000000"/>
      <name val="맑은 고딕"/>
      <family val="3"/>
    </font>
    <font>
      <sz val="12"/>
      <color theme="1"/>
      <name val="맑은 고딕"/>
      <family val="3"/>
      <scheme val="minor"/>
    </font>
    <font>
      <b/>
      <sz val="12"/>
      <name val="맑은 고딕"/>
      <family val="3"/>
    </font>
    <font>
      <sz val="12"/>
      <color rgb="FF0070C0"/>
      <name val="맑은 고딕"/>
      <family val="3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2">
    <xf numFmtId="0" fontId="0" fillId="0" borderId="0" xfId="0">
      <alignment vertical="center"/>
    </xf>
    <xf numFmtId="0" fontId="3" fillId="0" borderId="0" xfId="0" applyFo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quotePrefix="1" applyFont="1" applyFill="1" applyBorder="1" applyAlignment="1">
      <alignment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4" fontId="17" fillId="4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14" fontId="13" fillId="4" borderId="2" xfId="0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9" fillId="3" borderId="0" xfId="1" applyFont="1" applyFill="1">
      <alignment vertical="center"/>
    </xf>
    <xf numFmtId="0" fontId="15" fillId="0" borderId="1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0" borderId="1" xfId="0" quotePrefix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4" fillId="0" borderId="2" xfId="0" quotePrefix="1" applyFont="1" applyBorder="1" applyAlignment="1">
      <alignment vertical="center" wrapText="1"/>
    </xf>
    <xf numFmtId="14" fontId="20" fillId="0" borderId="4" xfId="1" applyNumberFormat="1" applyFont="1" applyBorder="1" applyAlignment="1">
      <alignment horizontal="center" vertical="center"/>
    </xf>
    <xf numFmtId="14" fontId="20" fillId="5" borderId="1" xfId="1" applyNumberFormat="1" applyFont="1" applyFill="1" applyBorder="1" applyAlignment="1">
      <alignment horizontal="center" vertical="center" wrapText="1"/>
    </xf>
    <xf numFmtId="14" fontId="20" fillId="5" borderId="1" xfId="1" applyNumberFormat="1" applyFont="1" applyFill="1" applyBorder="1" applyAlignment="1">
      <alignment horizontal="center" vertical="center"/>
    </xf>
    <xf numFmtId="176" fontId="20" fillId="6" borderId="1" xfId="1" applyNumberFormat="1" applyFont="1" applyFill="1" applyBorder="1" applyAlignment="1">
      <alignment horizontal="center" vertical="center" wrapText="1"/>
    </xf>
    <xf numFmtId="176" fontId="7" fillId="6" borderId="1" xfId="1" applyNumberFormat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176" fontId="20" fillId="6" borderId="1" xfId="1" applyNumberFormat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21" fillId="0" borderId="0" xfId="1" applyFont="1">
      <alignment vertical="center"/>
    </xf>
    <xf numFmtId="0" fontId="1" fillId="7" borderId="1" xfId="4" applyFill="1" applyBorder="1" applyAlignment="1">
      <alignment horizontal="center" vertical="center"/>
    </xf>
    <xf numFmtId="0" fontId="6" fillId="0" borderId="1" xfId="4" applyFont="1" applyBorder="1" applyAlignment="1">
      <alignment vertical="center" wrapText="1"/>
    </xf>
    <xf numFmtId="0" fontId="1" fillId="0" borderId="1" xfId="4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1" fillId="0" borderId="1" xfId="4" applyBorder="1">
      <alignment vertical="center"/>
    </xf>
    <xf numFmtId="0" fontId="23" fillId="0" borderId="1" xfId="4" applyFont="1" applyBorder="1" applyAlignment="1">
      <alignment vertical="center" wrapText="1"/>
    </xf>
    <xf numFmtId="0" fontId="24" fillId="0" borderId="2" xfId="4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5" fillId="4" borderId="0" xfId="1" applyFont="1" applyFill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6" fillId="0" borderId="1" xfId="4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14" fontId="13" fillId="3" borderId="1" xfId="0" quotePrefix="1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4" fillId="3" borderId="2" xfId="0" quotePrefix="1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14" fontId="1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6" fillId="3" borderId="2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17" fillId="4" borderId="2" xfId="0" quotePrefix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vertical="center" wrapText="1"/>
    </xf>
    <xf numFmtId="0" fontId="9" fillId="0" borderId="1" xfId="5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6" fillId="3" borderId="2" xfId="0" applyFont="1" applyFill="1" applyBorder="1" applyAlignment="1">
      <alignment horizontal="left" vertical="center" wrapText="1"/>
    </xf>
    <xf numFmtId="14" fontId="30" fillId="3" borderId="2" xfId="0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4" fontId="26" fillId="3" borderId="1" xfId="0" quotePrefix="1" applyNumberFormat="1" applyFont="1" applyFill="1" applyBorder="1" applyAlignment="1">
      <alignment horizontal="center" vertical="center" wrapText="1"/>
    </xf>
    <xf numFmtId="0" fontId="14" fillId="4" borderId="9" xfId="0" quotePrefix="1" applyFont="1" applyFill="1" applyBorder="1" applyAlignment="1">
      <alignment vertical="center" wrapText="1"/>
    </xf>
    <xf numFmtId="0" fontId="33" fillId="0" borderId="10" xfId="0" quotePrefix="1" applyFont="1" applyBorder="1" applyAlignment="1">
      <alignment vertical="center" wrapText="1"/>
    </xf>
    <xf numFmtId="0" fontId="14" fillId="4" borderId="6" xfId="0" quotePrefix="1" applyFont="1" applyFill="1" applyBorder="1" applyAlignment="1">
      <alignment vertical="top" wrapText="1"/>
    </xf>
    <xf numFmtId="0" fontId="14" fillId="4" borderId="5" xfId="0" quotePrefix="1" applyFont="1" applyFill="1" applyBorder="1" applyAlignment="1">
      <alignment wrapText="1"/>
    </xf>
    <xf numFmtId="14" fontId="17" fillId="8" borderId="2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4" fontId="13" fillId="4" borderId="1" xfId="0" quotePrefix="1" applyNumberFormat="1" applyFont="1" applyFill="1" applyBorder="1" applyAlignment="1">
      <alignment horizontal="center" vertical="center" wrapText="1"/>
    </xf>
    <xf numFmtId="0" fontId="14" fillId="4" borderId="2" xfId="0" quotePrefix="1" applyFont="1" applyFill="1" applyBorder="1" applyAlignment="1">
      <alignment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center" vertical="center"/>
    </xf>
    <xf numFmtId="14" fontId="30" fillId="4" borderId="2" xfId="0" applyNumberFormat="1" applyFont="1" applyFill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 wrapText="1"/>
    </xf>
    <xf numFmtId="14" fontId="26" fillId="4" borderId="1" xfId="0" applyNumberFormat="1" applyFont="1" applyFill="1" applyBorder="1" applyAlignment="1">
      <alignment horizontal="center" vertical="center" wrapText="1"/>
    </xf>
    <xf numFmtId="14" fontId="26" fillId="4" borderId="1" xfId="0" quotePrefix="1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/>
    </xf>
    <xf numFmtId="0" fontId="33" fillId="4" borderId="2" xfId="0" quotePrefix="1" applyFont="1" applyFill="1" applyBorder="1" applyAlignment="1">
      <alignment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14" fontId="13" fillId="4" borderId="5" xfId="0" applyNumberFormat="1" applyFont="1" applyFill="1" applyBorder="1" applyAlignment="1">
      <alignment horizontal="center" vertical="center" wrapText="1"/>
    </xf>
    <xf numFmtId="14" fontId="13" fillId="4" borderId="6" xfId="0" applyNumberFormat="1" applyFont="1" applyFill="1" applyBorder="1" applyAlignment="1">
      <alignment horizontal="center" vertical="center" wrapText="1"/>
    </xf>
    <xf numFmtId="14" fontId="13" fillId="4" borderId="5" xfId="0" quotePrefix="1" applyNumberFormat="1" applyFont="1" applyFill="1" applyBorder="1" applyAlignment="1">
      <alignment horizontal="center" vertical="center" wrapText="1"/>
    </xf>
    <xf numFmtId="14" fontId="13" fillId="4" borderId="6" xfId="0" quotePrefix="1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14" fontId="17" fillId="4" borderId="5" xfId="0" applyNumberFormat="1" applyFont="1" applyFill="1" applyBorder="1" applyAlignment="1">
      <alignment horizontal="center" vertical="center" wrapText="1"/>
    </xf>
    <xf numFmtId="14" fontId="17" fillId="4" borderId="6" xfId="0" applyNumberFormat="1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4" fontId="20" fillId="0" borderId="3" xfId="1" applyNumberFormat="1" applyFont="1" applyBorder="1" applyAlignment="1">
      <alignment horizontal="center" vertical="center"/>
    </xf>
    <xf numFmtId="14" fontId="20" fillId="0" borderId="4" xfId="1" applyNumberFormat="1" applyFont="1" applyBorder="1" applyAlignment="1">
      <alignment horizontal="center" vertical="center"/>
    </xf>
    <xf numFmtId="176" fontId="20" fillId="6" borderId="3" xfId="1" applyNumberFormat="1" applyFont="1" applyFill="1" applyBorder="1" applyAlignment="1">
      <alignment horizontal="center" vertical="center"/>
    </xf>
    <xf numFmtId="176" fontId="20" fillId="6" borderId="2" xfId="1" applyNumberFormat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left" vertical="center" wrapText="1"/>
    </xf>
    <xf numFmtId="0" fontId="4" fillId="6" borderId="4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</cellXfs>
  <cellStyles count="6">
    <cellStyle name="표준" xfId="0" builtinId="0"/>
    <cellStyle name="표준 11" xfId="4" xr:uid="{FA94E7E7-6F0E-4FEA-9709-DB1FA5F7A707}"/>
    <cellStyle name="표준 3" xfId="3" xr:uid="{E0D19693-78C4-4A02-88CA-29C397BDE968}"/>
    <cellStyle name="표준 4 2 2 2 2 2" xfId="5" xr:uid="{1B3B7B59-E227-4267-8F80-72D6BF479BC9}"/>
    <cellStyle name="표준 4 4 20 2" xfId="2" xr:uid="{B6301699-2D22-4123-A6ED-A77B35258211}"/>
    <cellStyle name="표준 7 2" xfId="1" xr:uid="{3D7A36CD-5AD7-4FA3-AD15-AB57CF1739F8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AE8C-7A98-4560-9241-E64BC27ED52F}">
  <dimension ref="A1:X38"/>
  <sheetViews>
    <sheetView tabSelected="1" zoomScale="82" zoomScaleNormal="82" workbookViewId="0">
      <pane xSplit="7" ySplit="5" topLeftCell="H6" activePane="bottomRight" state="frozen"/>
      <selection pane="bottomRight" activeCell="V11" sqref="V11:V12"/>
      <selection pane="bottomLeft" activeCell="A6" sqref="A6"/>
      <selection pane="topRight" activeCell="H1" sqref="H1"/>
    </sheetView>
  </sheetViews>
  <sheetFormatPr defaultRowHeight="17.45"/>
  <cols>
    <col min="1" max="1" width="8.125" customWidth="1"/>
    <col min="2" max="2" width="15.125" customWidth="1"/>
    <col min="7" max="7" width="62.125" customWidth="1"/>
    <col min="8" max="8" width="24" customWidth="1"/>
    <col min="9" max="9" width="14.625" bestFit="1" customWidth="1"/>
    <col min="10" max="10" width="10" bestFit="1" customWidth="1"/>
    <col min="11" max="11" width="16.125" bestFit="1" customWidth="1"/>
    <col min="12" max="12" width="33.25" customWidth="1"/>
    <col min="13" max="13" width="12.75" bestFit="1" customWidth="1"/>
    <col min="14" max="14" width="41.75" customWidth="1"/>
    <col min="16" max="16" width="17.875" customWidth="1"/>
    <col min="17" max="17" width="15.25" bestFit="1" customWidth="1"/>
    <col min="18" max="18" width="27" bestFit="1" customWidth="1"/>
    <col min="19" max="19" width="20" customWidth="1"/>
    <col min="20" max="20" width="20.75" customWidth="1"/>
    <col min="21" max="21" width="14.5" customWidth="1"/>
    <col min="22" max="22" width="12.875" bestFit="1" customWidth="1"/>
    <col min="23" max="23" width="16.125" bestFit="1" customWidth="1"/>
    <col min="24" max="24" width="111.625" customWidth="1"/>
  </cols>
  <sheetData>
    <row r="1" spans="1:24" ht="27.6">
      <c r="A1" s="1" t="s">
        <v>0</v>
      </c>
      <c r="O1" s="81"/>
    </row>
    <row r="2" spans="1:24" ht="27.6">
      <c r="A2" s="1"/>
    </row>
    <row r="3" spans="1:24" ht="19.149999999999999">
      <c r="A3" s="146">
        <v>46174</v>
      </c>
      <c r="B3" s="146"/>
      <c r="C3" s="57"/>
      <c r="D3" s="58" t="s">
        <v>1</v>
      </c>
      <c r="E3" s="59"/>
      <c r="F3" s="60" t="s">
        <v>2</v>
      </c>
    </row>
    <row r="4" spans="1:24" ht="19.149999999999999">
      <c r="A4" s="147" t="s">
        <v>3</v>
      </c>
      <c r="B4" s="147" t="s">
        <v>4</v>
      </c>
      <c r="C4" s="147" t="s">
        <v>5</v>
      </c>
      <c r="D4" s="147"/>
      <c r="E4" s="147" t="s">
        <v>6</v>
      </c>
      <c r="F4" s="147"/>
      <c r="G4" s="147" t="s">
        <v>7</v>
      </c>
      <c r="H4" s="147"/>
      <c r="I4" s="147"/>
      <c r="J4" s="147"/>
      <c r="K4" s="147"/>
      <c r="L4" s="147"/>
      <c r="M4" s="147"/>
      <c r="N4" s="147" t="s">
        <v>8</v>
      </c>
      <c r="O4" s="147"/>
      <c r="P4" s="147"/>
      <c r="Q4" s="147" t="s">
        <v>9</v>
      </c>
      <c r="R4" s="155" t="s">
        <v>10</v>
      </c>
      <c r="S4" s="147" t="s">
        <v>11</v>
      </c>
      <c r="T4" s="155" t="s">
        <v>12</v>
      </c>
      <c r="U4" s="155" t="s">
        <v>13</v>
      </c>
      <c r="V4" s="155" t="s">
        <v>14</v>
      </c>
      <c r="W4" s="155" t="s">
        <v>15</v>
      </c>
      <c r="X4" s="147" t="s">
        <v>16</v>
      </c>
    </row>
    <row r="5" spans="1:24" ht="38.450000000000003">
      <c r="A5" s="147"/>
      <c r="B5" s="147"/>
      <c r="C5" s="25" t="s">
        <v>17</v>
      </c>
      <c r="D5" s="25" t="s">
        <v>18</v>
      </c>
      <c r="E5" s="25" t="s">
        <v>17</v>
      </c>
      <c r="F5" s="25" t="s">
        <v>18</v>
      </c>
      <c r="G5" s="25" t="s">
        <v>19</v>
      </c>
      <c r="H5" s="26" t="s">
        <v>20</v>
      </c>
      <c r="I5" s="26" t="s">
        <v>21</v>
      </c>
      <c r="J5" s="25" t="s">
        <v>22</v>
      </c>
      <c r="K5" s="25" t="s">
        <v>23</v>
      </c>
      <c r="L5" s="25" t="s">
        <v>24</v>
      </c>
      <c r="M5" s="25" t="s">
        <v>25</v>
      </c>
      <c r="N5" s="25" t="s">
        <v>26</v>
      </c>
      <c r="O5" s="25" t="s">
        <v>27</v>
      </c>
      <c r="P5" s="25" t="s">
        <v>28</v>
      </c>
      <c r="Q5" s="147"/>
      <c r="R5" s="147"/>
      <c r="S5" s="147"/>
      <c r="T5" s="147"/>
      <c r="U5" s="147"/>
      <c r="V5" s="147"/>
      <c r="W5" s="147"/>
      <c r="X5" s="147"/>
    </row>
    <row r="6" spans="1:24" ht="249.6">
      <c r="A6" s="27">
        <f>ROW()-5</f>
        <v>1</v>
      </c>
      <c r="B6" s="2" t="s">
        <v>29</v>
      </c>
      <c r="C6" s="3" t="s">
        <v>30</v>
      </c>
      <c r="D6" s="4" t="s">
        <v>31</v>
      </c>
      <c r="E6" s="4" t="s">
        <v>32</v>
      </c>
      <c r="F6" s="4" t="s">
        <v>33</v>
      </c>
      <c r="G6" s="5" t="s">
        <v>34</v>
      </c>
      <c r="H6" s="4" t="s">
        <v>35</v>
      </c>
      <c r="I6" s="4" t="s">
        <v>36</v>
      </c>
      <c r="J6" s="2" t="s">
        <v>37</v>
      </c>
      <c r="K6" s="18" t="s">
        <v>38</v>
      </c>
      <c r="L6" s="7">
        <v>45498</v>
      </c>
      <c r="M6" s="7"/>
      <c r="N6" s="8" t="s">
        <v>39</v>
      </c>
      <c r="O6" s="9" t="s">
        <v>40</v>
      </c>
      <c r="P6" s="9" t="s">
        <v>41</v>
      </c>
      <c r="Q6" s="7">
        <v>45454</v>
      </c>
      <c r="R6" s="4">
        <v>20240540846</v>
      </c>
      <c r="S6" s="7">
        <v>45442</v>
      </c>
      <c r="T6" s="7" t="s">
        <v>42</v>
      </c>
      <c r="U6" s="7" t="s">
        <v>43</v>
      </c>
      <c r="V6" s="4" t="s">
        <v>44</v>
      </c>
      <c r="W6" s="6" t="s">
        <v>38</v>
      </c>
      <c r="X6" s="87" t="s">
        <v>45</v>
      </c>
    </row>
    <row r="7" spans="1:24" ht="96">
      <c r="A7" s="27">
        <f t="shared" ref="A7:A26" si="0">ROW()-5</f>
        <v>2</v>
      </c>
      <c r="B7" s="2" t="s">
        <v>29</v>
      </c>
      <c r="C7" s="3" t="s">
        <v>30</v>
      </c>
      <c r="D7" s="4" t="s">
        <v>46</v>
      </c>
      <c r="E7" s="4"/>
      <c r="F7" s="4"/>
      <c r="G7" s="5" t="s">
        <v>47</v>
      </c>
      <c r="H7" s="4" t="s">
        <v>48</v>
      </c>
      <c r="I7" s="4" t="s">
        <v>49</v>
      </c>
      <c r="J7" s="2" t="s">
        <v>50</v>
      </c>
      <c r="K7" s="18" t="s">
        <v>38</v>
      </c>
      <c r="L7" s="7">
        <v>45587</v>
      </c>
      <c r="M7" s="7"/>
      <c r="N7" s="8" t="s">
        <v>51</v>
      </c>
      <c r="O7" s="9" t="s">
        <v>52</v>
      </c>
      <c r="P7" s="9" t="s">
        <v>53</v>
      </c>
      <c r="Q7" s="7"/>
      <c r="R7" s="4"/>
      <c r="S7" s="7" t="s">
        <v>54</v>
      </c>
      <c r="T7" s="7" t="s">
        <v>55</v>
      </c>
      <c r="U7" s="7"/>
      <c r="V7" s="4"/>
      <c r="W7" s="6" t="s">
        <v>38</v>
      </c>
      <c r="X7" s="10" t="s">
        <v>56</v>
      </c>
    </row>
    <row r="8" spans="1:24" ht="57.6">
      <c r="A8" s="27">
        <f t="shared" si="0"/>
        <v>3</v>
      </c>
      <c r="B8" s="2" t="s">
        <v>29</v>
      </c>
      <c r="C8" s="3" t="s">
        <v>30</v>
      </c>
      <c r="D8" s="4" t="s">
        <v>57</v>
      </c>
      <c r="E8" s="4"/>
      <c r="F8" s="4"/>
      <c r="G8" s="5" t="s">
        <v>58</v>
      </c>
      <c r="H8" s="4" t="s">
        <v>59</v>
      </c>
      <c r="I8" s="4" t="s">
        <v>60</v>
      </c>
      <c r="J8" s="2" t="s">
        <v>50</v>
      </c>
      <c r="K8" s="18" t="s">
        <v>38</v>
      </c>
      <c r="L8" s="7">
        <v>45691</v>
      </c>
      <c r="M8" s="7">
        <v>45708</v>
      </c>
      <c r="N8" s="8" t="s">
        <v>39</v>
      </c>
      <c r="O8" s="9" t="s">
        <v>61</v>
      </c>
      <c r="P8" s="9" t="s">
        <v>62</v>
      </c>
      <c r="Q8" s="7">
        <v>45689</v>
      </c>
      <c r="R8" s="4" t="s">
        <v>63</v>
      </c>
      <c r="S8" s="7">
        <v>45692</v>
      </c>
      <c r="T8" s="11" t="s">
        <v>64</v>
      </c>
      <c r="U8" s="11" t="s">
        <v>65</v>
      </c>
      <c r="V8" s="4" t="s">
        <v>66</v>
      </c>
      <c r="W8" s="6" t="s">
        <v>38</v>
      </c>
      <c r="X8" s="10" t="s">
        <v>67</v>
      </c>
    </row>
    <row r="9" spans="1:24" ht="96">
      <c r="A9" s="27">
        <f t="shared" si="0"/>
        <v>4</v>
      </c>
      <c r="B9" s="83" t="s">
        <v>29</v>
      </c>
      <c r="C9" s="78" t="s">
        <v>30</v>
      </c>
      <c r="D9" s="67" t="s">
        <v>68</v>
      </c>
      <c r="E9" s="67" t="s">
        <v>69</v>
      </c>
      <c r="F9" s="67" t="s">
        <v>70</v>
      </c>
      <c r="G9" s="79" t="s">
        <v>71</v>
      </c>
      <c r="H9" s="67" t="s">
        <v>72</v>
      </c>
      <c r="I9" s="67" t="s">
        <v>73</v>
      </c>
      <c r="J9" s="69" t="s">
        <v>50</v>
      </c>
      <c r="K9" s="34" t="s">
        <v>74</v>
      </c>
      <c r="L9" s="70">
        <v>45863</v>
      </c>
      <c r="M9" s="70">
        <v>45881</v>
      </c>
      <c r="N9" s="84" t="s">
        <v>39</v>
      </c>
      <c r="O9" s="85" t="s">
        <v>52</v>
      </c>
      <c r="P9" s="85" t="s">
        <v>75</v>
      </c>
      <c r="Q9" s="70">
        <v>45860</v>
      </c>
      <c r="R9" s="73" t="s">
        <v>76</v>
      </c>
      <c r="S9" s="74">
        <v>45856</v>
      </c>
      <c r="T9" s="80">
        <v>45877</v>
      </c>
      <c r="U9" s="80" t="s">
        <v>77</v>
      </c>
      <c r="V9" s="67" t="s">
        <v>78</v>
      </c>
      <c r="W9" s="76" t="s">
        <v>79</v>
      </c>
      <c r="X9" s="77" t="s">
        <v>80</v>
      </c>
    </row>
    <row r="10" spans="1:24" ht="309.75" customHeight="1">
      <c r="A10" s="27">
        <f t="shared" si="0"/>
        <v>5</v>
      </c>
      <c r="B10" s="64" t="s">
        <v>29</v>
      </c>
      <c r="C10" s="14" t="s">
        <v>81</v>
      </c>
      <c r="D10" s="15" t="s">
        <v>82</v>
      </c>
      <c r="E10" s="23" t="s">
        <v>30</v>
      </c>
      <c r="F10" s="15" t="s">
        <v>57</v>
      </c>
      <c r="G10" s="16" t="s">
        <v>83</v>
      </c>
      <c r="H10" s="15" t="s">
        <v>84</v>
      </c>
      <c r="I10" s="15" t="s">
        <v>85</v>
      </c>
      <c r="J10" s="17" t="s">
        <v>50</v>
      </c>
      <c r="K10" s="18" t="s">
        <v>86</v>
      </c>
      <c r="L10" s="19">
        <v>45926</v>
      </c>
      <c r="M10" s="19"/>
      <c r="N10" s="8" t="s">
        <v>87</v>
      </c>
      <c r="O10" s="9" t="s">
        <v>88</v>
      </c>
      <c r="P10" s="9" t="s">
        <v>89</v>
      </c>
      <c r="Q10" s="19">
        <v>45917</v>
      </c>
      <c r="R10" s="20"/>
      <c r="S10" s="21"/>
      <c r="T10" s="22"/>
      <c r="U10" s="22"/>
      <c r="V10" s="15" t="s">
        <v>90</v>
      </c>
      <c r="W10" s="24" t="s">
        <v>86</v>
      </c>
      <c r="X10" s="103" t="s">
        <v>91</v>
      </c>
    </row>
    <row r="11" spans="1:24" ht="387.75" customHeight="1">
      <c r="A11" s="156">
        <f t="shared" si="0"/>
        <v>6</v>
      </c>
      <c r="B11" s="158" t="s">
        <v>29</v>
      </c>
      <c r="C11" s="160" t="s">
        <v>30</v>
      </c>
      <c r="D11" s="132" t="s">
        <v>92</v>
      </c>
      <c r="E11" s="132" t="s">
        <v>93</v>
      </c>
      <c r="F11" s="132" t="s">
        <v>94</v>
      </c>
      <c r="G11" s="134" t="s">
        <v>95</v>
      </c>
      <c r="H11" s="132" t="s">
        <v>96</v>
      </c>
      <c r="I11" s="132" t="s">
        <v>97</v>
      </c>
      <c r="J11" s="136" t="s">
        <v>50</v>
      </c>
      <c r="K11" s="138" t="s">
        <v>38</v>
      </c>
      <c r="L11" s="140">
        <v>45965</v>
      </c>
      <c r="M11" s="140"/>
      <c r="N11" s="142" t="s">
        <v>98</v>
      </c>
      <c r="O11" s="144" t="s">
        <v>52</v>
      </c>
      <c r="P11" s="144" t="s">
        <v>99</v>
      </c>
      <c r="Q11" s="140">
        <v>45898</v>
      </c>
      <c r="R11" s="124"/>
      <c r="S11" s="126">
        <v>45965</v>
      </c>
      <c r="T11" s="128" t="s">
        <v>100</v>
      </c>
      <c r="U11" s="128" t="s">
        <v>101</v>
      </c>
      <c r="V11" s="132" t="s">
        <v>102</v>
      </c>
      <c r="W11" s="130" t="s">
        <v>38</v>
      </c>
      <c r="X11" s="106" t="s">
        <v>103</v>
      </c>
    </row>
    <row r="12" spans="1:24" ht="366.75" customHeight="1">
      <c r="A12" s="157"/>
      <c r="B12" s="159"/>
      <c r="C12" s="161"/>
      <c r="D12" s="133"/>
      <c r="E12" s="133"/>
      <c r="F12" s="133"/>
      <c r="G12" s="135"/>
      <c r="H12" s="133"/>
      <c r="I12" s="133"/>
      <c r="J12" s="137"/>
      <c r="K12" s="139"/>
      <c r="L12" s="141"/>
      <c r="M12" s="141"/>
      <c r="N12" s="143"/>
      <c r="O12" s="145"/>
      <c r="P12" s="145"/>
      <c r="Q12" s="141"/>
      <c r="R12" s="125"/>
      <c r="S12" s="127"/>
      <c r="T12" s="129"/>
      <c r="U12" s="129"/>
      <c r="V12" s="133"/>
      <c r="W12" s="131"/>
      <c r="X12" s="105" t="s">
        <v>104</v>
      </c>
    </row>
    <row r="13" spans="1:24" s="28" customFormat="1" ht="69.599999999999994">
      <c r="A13" s="27">
        <f t="shared" si="0"/>
        <v>8</v>
      </c>
      <c r="B13" s="66" t="s">
        <v>29</v>
      </c>
      <c r="C13" s="78" t="s">
        <v>105</v>
      </c>
      <c r="D13" s="67" t="s">
        <v>106</v>
      </c>
      <c r="E13" s="67" t="s">
        <v>93</v>
      </c>
      <c r="F13" s="67" t="s">
        <v>107</v>
      </c>
      <c r="G13" s="79" t="s">
        <v>108</v>
      </c>
      <c r="H13" s="67" t="s">
        <v>109</v>
      </c>
      <c r="I13" s="67" t="s">
        <v>110</v>
      </c>
      <c r="J13" s="69" t="s">
        <v>111</v>
      </c>
      <c r="K13" s="34" t="s">
        <v>112</v>
      </c>
      <c r="L13" s="70">
        <v>46037</v>
      </c>
      <c r="M13" s="70">
        <v>46094</v>
      </c>
      <c r="N13" s="71" t="s">
        <v>113</v>
      </c>
      <c r="O13" s="72" t="s">
        <v>114</v>
      </c>
      <c r="P13" s="72" t="s">
        <v>115</v>
      </c>
      <c r="Q13" s="70">
        <v>46017</v>
      </c>
      <c r="R13" s="73" t="s">
        <v>116</v>
      </c>
      <c r="S13" s="74">
        <v>46049</v>
      </c>
      <c r="T13" s="80">
        <v>46091</v>
      </c>
      <c r="U13" s="80">
        <v>46094</v>
      </c>
      <c r="V13" s="67" t="s">
        <v>117</v>
      </c>
      <c r="W13" s="76" t="s">
        <v>118</v>
      </c>
      <c r="X13" s="104" t="s">
        <v>119</v>
      </c>
    </row>
    <row r="14" spans="1:24" s="28" customFormat="1" ht="66">
      <c r="A14" s="27">
        <f t="shared" si="0"/>
        <v>9</v>
      </c>
      <c r="B14" s="29" t="s">
        <v>29</v>
      </c>
      <c r="C14" s="30" t="s">
        <v>30</v>
      </c>
      <c r="D14" s="31" t="s">
        <v>120</v>
      </c>
      <c r="E14" s="31" t="s">
        <v>121</v>
      </c>
      <c r="F14" s="31" t="s">
        <v>122</v>
      </c>
      <c r="G14" s="32" t="s">
        <v>123</v>
      </c>
      <c r="H14" s="31" t="s">
        <v>124</v>
      </c>
      <c r="I14" s="31" t="s">
        <v>125</v>
      </c>
      <c r="J14" s="33" t="s">
        <v>111</v>
      </c>
      <c r="K14" s="34" t="s">
        <v>112</v>
      </c>
      <c r="L14" s="35">
        <v>46052</v>
      </c>
      <c r="M14" s="35">
        <v>46063</v>
      </c>
      <c r="N14" s="12" t="s">
        <v>113</v>
      </c>
      <c r="O14" s="13" t="s">
        <v>126</v>
      </c>
      <c r="P14" s="13" t="s">
        <v>127</v>
      </c>
      <c r="Q14" s="35">
        <v>46035</v>
      </c>
      <c r="R14" s="36"/>
      <c r="S14" s="37">
        <v>46051</v>
      </c>
      <c r="T14" s="38">
        <v>46062</v>
      </c>
      <c r="U14" s="38" t="s">
        <v>128</v>
      </c>
      <c r="V14" s="31" t="s">
        <v>129</v>
      </c>
      <c r="W14" s="39" t="s">
        <v>130</v>
      </c>
      <c r="X14" s="40" t="s">
        <v>131</v>
      </c>
    </row>
    <row r="15" spans="1:24" s="28" customFormat="1" ht="54">
      <c r="A15" s="27">
        <f t="shared" si="0"/>
        <v>10</v>
      </c>
      <c r="B15" s="66" t="s">
        <v>29</v>
      </c>
      <c r="C15" s="67" t="s">
        <v>132</v>
      </c>
      <c r="D15" s="67" t="s">
        <v>133</v>
      </c>
      <c r="E15" s="67"/>
      <c r="F15" s="67"/>
      <c r="G15" s="68" t="s">
        <v>134</v>
      </c>
      <c r="H15" s="67" t="s">
        <v>135</v>
      </c>
      <c r="I15" s="67" t="s">
        <v>136</v>
      </c>
      <c r="J15" s="69" t="s">
        <v>111</v>
      </c>
      <c r="K15" s="34" t="s">
        <v>137</v>
      </c>
      <c r="L15" s="70">
        <v>46064</v>
      </c>
      <c r="M15" s="70">
        <v>46112</v>
      </c>
      <c r="N15" s="71" t="s">
        <v>138</v>
      </c>
      <c r="O15" s="72" t="s">
        <v>52</v>
      </c>
      <c r="P15" s="72" t="s">
        <v>53</v>
      </c>
      <c r="Q15" s="70">
        <v>46055</v>
      </c>
      <c r="R15" s="73"/>
      <c r="S15" s="74"/>
      <c r="T15" s="75"/>
      <c r="U15" s="75"/>
      <c r="V15" s="67"/>
      <c r="W15" s="76" t="s">
        <v>79</v>
      </c>
      <c r="X15" s="77" t="s">
        <v>139</v>
      </c>
    </row>
    <row r="16" spans="1:24" s="28" customFormat="1" ht="76.900000000000006">
      <c r="A16" s="27">
        <f t="shared" si="0"/>
        <v>11</v>
      </c>
      <c r="B16" s="66" t="s">
        <v>29</v>
      </c>
      <c r="C16" s="67" t="s">
        <v>114</v>
      </c>
      <c r="D16" s="67" t="s">
        <v>140</v>
      </c>
      <c r="E16" s="67" t="s">
        <v>132</v>
      </c>
      <c r="F16" s="67" t="s">
        <v>133</v>
      </c>
      <c r="G16" s="68" t="s">
        <v>141</v>
      </c>
      <c r="H16" s="67" t="s">
        <v>142</v>
      </c>
      <c r="I16" s="67" t="s">
        <v>143</v>
      </c>
      <c r="J16" s="69" t="s">
        <v>111</v>
      </c>
      <c r="K16" s="34" t="s">
        <v>144</v>
      </c>
      <c r="L16" s="70">
        <v>46072</v>
      </c>
      <c r="M16" s="70">
        <v>46093</v>
      </c>
      <c r="N16" s="71" t="s">
        <v>113</v>
      </c>
      <c r="O16" s="72" t="s">
        <v>52</v>
      </c>
      <c r="P16" s="72" t="s">
        <v>75</v>
      </c>
      <c r="Q16" s="70">
        <v>46072</v>
      </c>
      <c r="R16" s="73" t="s">
        <v>145</v>
      </c>
      <c r="S16" s="74">
        <v>46077</v>
      </c>
      <c r="T16" s="75">
        <v>46094</v>
      </c>
      <c r="U16" s="75" t="s">
        <v>146</v>
      </c>
      <c r="V16" s="67" t="s">
        <v>147</v>
      </c>
      <c r="W16" s="76" t="s">
        <v>144</v>
      </c>
      <c r="X16" s="77" t="s">
        <v>148</v>
      </c>
    </row>
    <row r="17" spans="1:24" s="28" customFormat="1" ht="69.599999999999994">
      <c r="A17" s="27">
        <v>12</v>
      </c>
      <c r="B17" s="66" t="s">
        <v>29</v>
      </c>
      <c r="C17" s="78" t="s">
        <v>30</v>
      </c>
      <c r="D17" s="82" t="s">
        <v>120</v>
      </c>
      <c r="E17" s="82" t="s">
        <v>126</v>
      </c>
      <c r="F17" s="82" t="s">
        <v>149</v>
      </c>
      <c r="G17" s="79" t="s">
        <v>150</v>
      </c>
      <c r="H17" s="67" t="s">
        <v>151</v>
      </c>
      <c r="I17" s="67" t="s">
        <v>152</v>
      </c>
      <c r="J17" s="69" t="s">
        <v>111</v>
      </c>
      <c r="K17" s="34" t="s">
        <v>112</v>
      </c>
      <c r="L17" s="70">
        <v>46072</v>
      </c>
      <c r="M17" s="70">
        <v>46107</v>
      </c>
      <c r="N17" s="71" t="s">
        <v>113</v>
      </c>
      <c r="O17" s="72" t="s">
        <v>153</v>
      </c>
      <c r="P17" s="72" t="s">
        <v>154</v>
      </c>
      <c r="Q17" s="70">
        <v>46072</v>
      </c>
      <c r="R17" s="73" t="s">
        <v>155</v>
      </c>
      <c r="S17" s="74">
        <v>46078</v>
      </c>
      <c r="T17" s="75" t="s">
        <v>156</v>
      </c>
      <c r="U17" s="75" t="s">
        <v>157</v>
      </c>
      <c r="V17" s="67" t="s">
        <v>158</v>
      </c>
      <c r="W17" s="76" t="s">
        <v>118</v>
      </c>
      <c r="X17" s="77" t="s">
        <v>159</v>
      </c>
    </row>
    <row r="18" spans="1:24" s="28" customFormat="1" ht="88.9">
      <c r="A18" s="27">
        <f t="shared" si="0"/>
        <v>13</v>
      </c>
      <c r="B18" s="29" t="s">
        <v>29</v>
      </c>
      <c r="C18" s="30" t="s">
        <v>30</v>
      </c>
      <c r="D18" s="31" t="s">
        <v>68</v>
      </c>
      <c r="E18" s="31" t="s">
        <v>114</v>
      </c>
      <c r="F18" s="31" t="s">
        <v>160</v>
      </c>
      <c r="G18" s="32" t="s">
        <v>161</v>
      </c>
      <c r="H18" s="31" t="s">
        <v>162</v>
      </c>
      <c r="I18" s="31" t="s">
        <v>163</v>
      </c>
      <c r="J18" s="33" t="s">
        <v>111</v>
      </c>
      <c r="K18" s="34" t="s">
        <v>112</v>
      </c>
      <c r="L18" s="35">
        <v>46080</v>
      </c>
      <c r="M18" s="70">
        <v>46094</v>
      </c>
      <c r="N18" s="12" t="s">
        <v>98</v>
      </c>
      <c r="O18" s="13" t="s">
        <v>114</v>
      </c>
      <c r="P18" s="13" t="s">
        <v>164</v>
      </c>
      <c r="Q18" s="35">
        <v>46080</v>
      </c>
      <c r="R18" s="36"/>
      <c r="S18" s="37">
        <v>46062</v>
      </c>
      <c r="T18" s="38">
        <v>46094</v>
      </c>
      <c r="U18" s="38">
        <v>46133</v>
      </c>
      <c r="V18" s="95" t="s">
        <v>165</v>
      </c>
      <c r="W18" s="39" t="s">
        <v>130</v>
      </c>
      <c r="X18" s="40" t="s">
        <v>166</v>
      </c>
    </row>
    <row r="19" spans="1:24" s="28" customFormat="1" ht="57.6">
      <c r="A19" s="109">
        <f t="shared" si="0"/>
        <v>14</v>
      </c>
      <c r="B19" s="110" t="s">
        <v>29</v>
      </c>
      <c r="C19" s="14" t="s">
        <v>30</v>
      </c>
      <c r="D19" s="113" t="s">
        <v>120</v>
      </c>
      <c r="E19" s="15"/>
      <c r="F19" s="15"/>
      <c r="G19" s="16" t="s">
        <v>167</v>
      </c>
      <c r="H19" s="15" t="s">
        <v>168</v>
      </c>
      <c r="I19" s="15" t="s">
        <v>169</v>
      </c>
      <c r="J19" s="17" t="s">
        <v>111</v>
      </c>
      <c r="K19" s="18" t="s">
        <v>38</v>
      </c>
      <c r="L19" s="19">
        <v>46104</v>
      </c>
      <c r="M19" s="19">
        <v>46106</v>
      </c>
      <c r="N19" s="8" t="s">
        <v>113</v>
      </c>
      <c r="O19" s="9" t="s">
        <v>126</v>
      </c>
      <c r="P19" s="9" t="s">
        <v>170</v>
      </c>
      <c r="Q19" s="19">
        <v>46104</v>
      </c>
      <c r="R19" s="20"/>
      <c r="S19" s="21">
        <v>46094</v>
      </c>
      <c r="T19" s="111">
        <v>46104</v>
      </c>
      <c r="U19" s="111" t="s">
        <v>171</v>
      </c>
      <c r="V19" s="15" t="s">
        <v>172</v>
      </c>
      <c r="W19" s="24" t="s">
        <v>38</v>
      </c>
      <c r="X19" s="112" t="s">
        <v>173</v>
      </c>
    </row>
    <row r="20" spans="1:24" s="28" customFormat="1" ht="85.15">
      <c r="A20" s="27">
        <f t="shared" si="0"/>
        <v>15</v>
      </c>
      <c r="B20" s="29" t="s">
        <v>29</v>
      </c>
      <c r="C20" s="30" t="s">
        <v>30</v>
      </c>
      <c r="D20" s="31" t="s">
        <v>68</v>
      </c>
      <c r="E20" s="31" t="s">
        <v>114</v>
      </c>
      <c r="F20" s="31" t="s">
        <v>174</v>
      </c>
      <c r="G20" s="32" t="s">
        <v>175</v>
      </c>
      <c r="H20" s="31" t="s">
        <v>176</v>
      </c>
      <c r="I20" s="31" t="s">
        <v>177</v>
      </c>
      <c r="J20" s="33" t="s">
        <v>111</v>
      </c>
      <c r="K20" s="34" t="s">
        <v>112</v>
      </c>
      <c r="L20" s="35">
        <v>46104</v>
      </c>
      <c r="M20" s="35">
        <v>46118</v>
      </c>
      <c r="N20" s="12" t="s">
        <v>113</v>
      </c>
      <c r="O20" s="13" t="s">
        <v>126</v>
      </c>
      <c r="P20" s="13" t="s">
        <v>178</v>
      </c>
      <c r="Q20" s="35">
        <v>46104</v>
      </c>
      <c r="R20" s="36"/>
      <c r="S20" s="38">
        <v>46106</v>
      </c>
      <c r="T20" s="38">
        <v>46118</v>
      </c>
      <c r="U20" s="38" t="s">
        <v>179</v>
      </c>
      <c r="V20" s="95" t="s">
        <v>165</v>
      </c>
      <c r="W20" s="39" t="s">
        <v>130</v>
      </c>
      <c r="X20" s="40" t="s">
        <v>180</v>
      </c>
    </row>
    <row r="21" spans="1:24" s="28" customFormat="1" ht="120.6" customHeight="1">
      <c r="A21" s="109">
        <f t="shared" si="0"/>
        <v>16</v>
      </c>
      <c r="B21" s="17" t="s">
        <v>29</v>
      </c>
      <c r="C21" s="14" t="s">
        <v>30</v>
      </c>
      <c r="D21" s="113" t="s">
        <v>181</v>
      </c>
      <c r="E21" s="113" t="s">
        <v>114</v>
      </c>
      <c r="F21" s="113" t="s">
        <v>120</v>
      </c>
      <c r="G21" s="114" t="s">
        <v>182</v>
      </c>
      <c r="H21" s="113" t="s">
        <v>183</v>
      </c>
      <c r="I21" s="113" t="s">
        <v>184</v>
      </c>
      <c r="J21" s="115" t="s">
        <v>111</v>
      </c>
      <c r="K21" s="18" t="s">
        <v>38</v>
      </c>
      <c r="L21" s="116">
        <v>46112</v>
      </c>
      <c r="M21" s="116">
        <v>46121</v>
      </c>
      <c r="N21" s="117" t="s">
        <v>113</v>
      </c>
      <c r="O21" s="118" t="s">
        <v>132</v>
      </c>
      <c r="P21" s="118" t="s">
        <v>185</v>
      </c>
      <c r="Q21" s="116">
        <v>46111</v>
      </c>
      <c r="R21" s="119"/>
      <c r="S21" s="120">
        <v>46107</v>
      </c>
      <c r="T21" s="120">
        <v>46119</v>
      </c>
      <c r="U21" s="121" t="s">
        <v>186</v>
      </c>
      <c r="V21" s="113" t="s">
        <v>187</v>
      </c>
      <c r="W21" s="122" t="s">
        <v>38</v>
      </c>
      <c r="X21" s="123" t="s">
        <v>188</v>
      </c>
    </row>
    <row r="22" spans="1:24" s="28" customFormat="1" ht="69.599999999999994">
      <c r="A22" s="27">
        <f t="shared" si="0"/>
        <v>17</v>
      </c>
      <c r="B22" s="66" t="s">
        <v>29</v>
      </c>
      <c r="C22" s="78" t="s">
        <v>30</v>
      </c>
      <c r="D22" s="67" t="s">
        <v>120</v>
      </c>
      <c r="E22" s="67" t="s">
        <v>121</v>
      </c>
      <c r="F22" s="67" t="s">
        <v>189</v>
      </c>
      <c r="G22" s="97" t="s">
        <v>190</v>
      </c>
      <c r="H22" s="82" t="s">
        <v>191</v>
      </c>
      <c r="I22" s="67" t="s">
        <v>192</v>
      </c>
      <c r="J22" s="69" t="s">
        <v>111</v>
      </c>
      <c r="K22" s="34" t="s">
        <v>137</v>
      </c>
      <c r="L22" s="70">
        <v>46118</v>
      </c>
      <c r="M22" s="70">
        <v>46125</v>
      </c>
      <c r="N22" s="71" t="s">
        <v>193</v>
      </c>
      <c r="O22" s="72" t="s">
        <v>132</v>
      </c>
      <c r="P22" s="72" t="s">
        <v>194</v>
      </c>
      <c r="Q22" s="70">
        <v>46118</v>
      </c>
      <c r="R22" s="73" t="s">
        <v>195</v>
      </c>
      <c r="S22" s="98">
        <v>46118</v>
      </c>
      <c r="T22" s="98">
        <v>46129</v>
      </c>
      <c r="U22" s="75">
        <v>46149</v>
      </c>
      <c r="V22" s="67" t="s">
        <v>196</v>
      </c>
      <c r="W22" s="76" t="s">
        <v>130</v>
      </c>
      <c r="X22" s="77" t="s">
        <v>197</v>
      </c>
    </row>
    <row r="23" spans="1:24" s="28" customFormat="1" ht="115.15">
      <c r="A23" s="99">
        <f t="shared" si="0"/>
        <v>18</v>
      </c>
      <c r="B23" s="66" t="s">
        <v>29</v>
      </c>
      <c r="C23" s="78" t="s">
        <v>30</v>
      </c>
      <c r="D23" s="67" t="s">
        <v>160</v>
      </c>
      <c r="E23" s="67" t="s">
        <v>198</v>
      </c>
      <c r="F23" s="67" t="s">
        <v>199</v>
      </c>
      <c r="G23" s="79" t="s">
        <v>200</v>
      </c>
      <c r="H23" s="82" t="s">
        <v>201</v>
      </c>
      <c r="I23" s="67" t="s">
        <v>202</v>
      </c>
      <c r="J23" s="100" t="s">
        <v>111</v>
      </c>
      <c r="K23" s="34" t="s">
        <v>112</v>
      </c>
      <c r="L23" s="70">
        <v>46118</v>
      </c>
      <c r="M23" s="70">
        <v>46135</v>
      </c>
      <c r="N23" s="71" t="s">
        <v>98</v>
      </c>
      <c r="O23" s="101" t="s">
        <v>114</v>
      </c>
      <c r="P23" s="101" t="s">
        <v>164</v>
      </c>
      <c r="Q23" s="70">
        <v>46118</v>
      </c>
      <c r="R23" s="73"/>
      <c r="S23" s="98">
        <v>46118</v>
      </c>
      <c r="T23" s="98">
        <v>46125</v>
      </c>
      <c r="U23" s="102" t="s">
        <v>203</v>
      </c>
      <c r="V23" s="67" t="s">
        <v>204</v>
      </c>
      <c r="W23" s="76" t="s">
        <v>118</v>
      </c>
      <c r="X23" s="77" t="s">
        <v>205</v>
      </c>
    </row>
    <row r="24" spans="1:24" s="28" customFormat="1" ht="54">
      <c r="A24" s="27">
        <f t="shared" si="0"/>
        <v>19</v>
      </c>
      <c r="B24" s="29" t="s">
        <v>29</v>
      </c>
      <c r="C24" s="30" t="s">
        <v>81</v>
      </c>
      <c r="D24" s="31" t="s">
        <v>206</v>
      </c>
      <c r="E24" s="31"/>
      <c r="F24" s="31"/>
      <c r="G24" s="32" t="s">
        <v>207</v>
      </c>
      <c r="H24" s="86" t="s">
        <v>208</v>
      </c>
      <c r="I24" s="31" t="s">
        <v>209</v>
      </c>
      <c r="J24" s="33" t="s">
        <v>111</v>
      </c>
      <c r="K24" s="34" t="s">
        <v>137</v>
      </c>
      <c r="L24" s="35">
        <v>46135</v>
      </c>
      <c r="M24" s="35">
        <v>46136</v>
      </c>
      <c r="N24" s="12" t="s">
        <v>113</v>
      </c>
      <c r="O24" s="13" t="s">
        <v>126</v>
      </c>
      <c r="P24" s="13" t="s">
        <v>210</v>
      </c>
      <c r="Q24" s="35">
        <v>46135</v>
      </c>
      <c r="R24" s="36"/>
      <c r="S24" s="37"/>
      <c r="T24" s="38"/>
      <c r="U24" s="38"/>
      <c r="V24" s="31" t="s">
        <v>211</v>
      </c>
      <c r="W24" s="39" t="s">
        <v>212</v>
      </c>
      <c r="X24" s="40" t="s">
        <v>213</v>
      </c>
    </row>
    <row r="25" spans="1:24" s="28" customFormat="1" ht="60" customHeight="1">
      <c r="A25" s="27">
        <f t="shared" si="0"/>
        <v>20</v>
      </c>
      <c r="B25" s="29" t="s">
        <v>29</v>
      </c>
      <c r="C25" s="30" t="s">
        <v>81</v>
      </c>
      <c r="D25" s="31" t="s">
        <v>214</v>
      </c>
      <c r="E25" s="31"/>
      <c r="F25" s="31"/>
      <c r="G25" s="32" t="s">
        <v>215</v>
      </c>
      <c r="H25" s="31" t="s">
        <v>216</v>
      </c>
      <c r="I25" s="31"/>
      <c r="J25" s="33"/>
      <c r="K25" s="34" t="s">
        <v>137</v>
      </c>
      <c r="L25" s="35">
        <v>46149</v>
      </c>
      <c r="M25" s="107"/>
      <c r="N25" s="71" t="s">
        <v>113</v>
      </c>
      <c r="O25" s="72" t="s">
        <v>52</v>
      </c>
      <c r="P25" s="72" t="s">
        <v>75</v>
      </c>
      <c r="Q25" s="35"/>
      <c r="R25" s="36"/>
      <c r="S25" s="37"/>
      <c r="T25" s="38"/>
      <c r="U25" s="38"/>
      <c r="V25" s="31"/>
      <c r="W25" s="39" t="s">
        <v>217</v>
      </c>
      <c r="X25" s="40" t="s">
        <v>218</v>
      </c>
    </row>
    <row r="26" spans="1:24" s="28" customFormat="1" ht="81.75" customHeight="1">
      <c r="A26" s="109">
        <f t="shared" si="0"/>
        <v>21</v>
      </c>
      <c r="B26" s="110" t="s">
        <v>29</v>
      </c>
      <c r="C26" s="14" t="s">
        <v>30</v>
      </c>
      <c r="D26" s="15" t="s">
        <v>120</v>
      </c>
      <c r="E26" s="15" t="s">
        <v>198</v>
      </c>
      <c r="F26" s="15" t="s">
        <v>219</v>
      </c>
      <c r="G26" s="16" t="s">
        <v>220</v>
      </c>
      <c r="H26" s="15" t="s">
        <v>221</v>
      </c>
      <c r="I26" s="15" t="s">
        <v>222</v>
      </c>
      <c r="J26" s="17" t="s">
        <v>111</v>
      </c>
      <c r="K26" s="18" t="s">
        <v>38</v>
      </c>
      <c r="L26" s="19">
        <v>46150</v>
      </c>
      <c r="M26" s="19">
        <v>46169</v>
      </c>
      <c r="N26" s="8" t="s">
        <v>113</v>
      </c>
      <c r="O26" s="9" t="s">
        <v>126</v>
      </c>
      <c r="P26" s="9" t="s">
        <v>170</v>
      </c>
      <c r="Q26" s="19">
        <v>46148</v>
      </c>
      <c r="R26" s="20"/>
      <c r="S26" s="21">
        <v>46153</v>
      </c>
      <c r="T26" s="111">
        <v>46162</v>
      </c>
      <c r="U26" s="111">
        <v>46169</v>
      </c>
      <c r="V26" s="15" t="s">
        <v>223</v>
      </c>
      <c r="W26" s="24" t="s">
        <v>38</v>
      </c>
      <c r="X26" s="112" t="s">
        <v>224</v>
      </c>
    </row>
    <row r="27" spans="1:24" s="28" customFormat="1" ht="162" customHeight="1">
      <c r="A27" s="27">
        <v>21</v>
      </c>
      <c r="B27" s="29" t="s">
        <v>29</v>
      </c>
      <c r="C27" s="30" t="s">
        <v>105</v>
      </c>
      <c r="D27" s="88" t="s">
        <v>149</v>
      </c>
      <c r="E27" s="88"/>
      <c r="F27" s="88"/>
      <c r="G27" s="89" t="s">
        <v>225</v>
      </c>
      <c r="H27" s="31" t="s">
        <v>226</v>
      </c>
      <c r="I27" s="88" t="s">
        <v>227</v>
      </c>
      <c r="J27" s="33" t="s">
        <v>228</v>
      </c>
      <c r="K27" s="34" t="s">
        <v>137</v>
      </c>
      <c r="L27" s="35">
        <v>46154</v>
      </c>
      <c r="M27" s="90">
        <v>46159</v>
      </c>
      <c r="N27" s="12" t="s">
        <v>113</v>
      </c>
      <c r="O27" s="13" t="s">
        <v>126</v>
      </c>
      <c r="P27" s="13" t="s">
        <v>178</v>
      </c>
      <c r="Q27" s="90">
        <v>46140</v>
      </c>
      <c r="R27" s="92"/>
      <c r="S27" s="93">
        <v>46175</v>
      </c>
      <c r="T27" s="38">
        <v>46196</v>
      </c>
      <c r="U27" s="38">
        <v>46202</v>
      </c>
      <c r="V27" s="88"/>
      <c r="W27" s="39" t="s">
        <v>229</v>
      </c>
      <c r="X27" s="94" t="s">
        <v>230</v>
      </c>
    </row>
    <row r="28" spans="1:24" s="28" customFormat="1" ht="230.45">
      <c r="A28" s="27">
        <v>21</v>
      </c>
      <c r="B28" s="29" t="s">
        <v>29</v>
      </c>
      <c r="C28" s="30" t="s">
        <v>30</v>
      </c>
      <c r="D28" s="88" t="s">
        <v>160</v>
      </c>
      <c r="E28" s="88" t="s">
        <v>126</v>
      </c>
      <c r="F28" s="88" t="s">
        <v>149</v>
      </c>
      <c r="G28" s="89" t="s">
        <v>231</v>
      </c>
      <c r="H28" s="31" t="s">
        <v>232</v>
      </c>
      <c r="I28" s="88" t="s">
        <v>143</v>
      </c>
      <c r="J28" s="33" t="s">
        <v>111</v>
      </c>
      <c r="K28" s="34" t="s">
        <v>112</v>
      </c>
      <c r="L28" s="90">
        <v>46160</v>
      </c>
      <c r="M28" s="90">
        <v>46177</v>
      </c>
      <c r="N28" s="12" t="s">
        <v>98</v>
      </c>
      <c r="O28" s="91" t="s">
        <v>114</v>
      </c>
      <c r="P28" s="91" t="s">
        <v>164</v>
      </c>
      <c r="Q28" s="90">
        <v>46156</v>
      </c>
      <c r="R28" s="92"/>
      <c r="S28" s="37">
        <v>46161</v>
      </c>
      <c r="T28" s="38">
        <v>46175</v>
      </c>
      <c r="U28" s="38">
        <v>46177</v>
      </c>
      <c r="V28" s="88" t="s">
        <v>204</v>
      </c>
      <c r="W28" s="39" t="s">
        <v>118</v>
      </c>
      <c r="X28" s="94" t="s">
        <v>233</v>
      </c>
    </row>
    <row r="29" spans="1:24" s="28" customFormat="1" ht="76.900000000000006">
      <c r="A29" s="27">
        <v>22</v>
      </c>
      <c r="B29" s="29" t="s">
        <v>29</v>
      </c>
      <c r="C29" s="30" t="s">
        <v>81</v>
      </c>
      <c r="D29" s="31" t="s">
        <v>214</v>
      </c>
      <c r="E29" s="88"/>
      <c r="F29" s="88"/>
      <c r="G29" s="32" t="s">
        <v>234</v>
      </c>
      <c r="H29" s="31" t="s">
        <v>235</v>
      </c>
      <c r="I29" s="88" t="s">
        <v>236</v>
      </c>
      <c r="J29" s="33"/>
      <c r="K29" s="34" t="s">
        <v>217</v>
      </c>
      <c r="L29" s="90">
        <v>46169</v>
      </c>
      <c r="M29" s="108"/>
      <c r="N29" s="12" t="s">
        <v>237</v>
      </c>
      <c r="O29" s="91" t="s">
        <v>132</v>
      </c>
      <c r="P29" s="91" t="s">
        <v>238</v>
      </c>
      <c r="Q29" s="90">
        <v>46169</v>
      </c>
      <c r="R29" s="92"/>
      <c r="S29" s="93"/>
      <c r="T29" s="38"/>
      <c r="U29" s="38"/>
      <c r="V29" s="88"/>
      <c r="W29" s="39" t="s">
        <v>217</v>
      </c>
      <c r="X29" s="94" t="s">
        <v>239</v>
      </c>
    </row>
    <row r="30" spans="1:24" s="28" customFormat="1" ht="73.150000000000006">
      <c r="A30" s="27">
        <v>23</v>
      </c>
      <c r="B30" s="29" t="s">
        <v>29</v>
      </c>
      <c r="C30" s="88" t="s">
        <v>132</v>
      </c>
      <c r="D30" s="88" t="s">
        <v>240</v>
      </c>
      <c r="E30" s="88" t="s">
        <v>132</v>
      </c>
      <c r="F30" s="88" t="s">
        <v>133</v>
      </c>
      <c r="G30" s="89" t="s">
        <v>241</v>
      </c>
      <c r="H30" s="31" t="s">
        <v>242</v>
      </c>
      <c r="I30" s="88" t="s">
        <v>243</v>
      </c>
      <c r="J30" s="33" t="s">
        <v>111</v>
      </c>
      <c r="K30" s="34" t="s">
        <v>137</v>
      </c>
      <c r="L30" s="90">
        <v>46170</v>
      </c>
      <c r="M30" s="90">
        <v>46182</v>
      </c>
      <c r="N30" s="12" t="s">
        <v>87</v>
      </c>
      <c r="O30" s="91" t="s">
        <v>88</v>
      </c>
      <c r="P30" s="91" t="s">
        <v>89</v>
      </c>
      <c r="Q30" s="90">
        <v>46170</v>
      </c>
      <c r="R30" s="92" t="s">
        <v>244</v>
      </c>
      <c r="S30" s="93">
        <v>46146</v>
      </c>
      <c r="T30" s="38">
        <v>46189</v>
      </c>
      <c r="U30" s="38"/>
      <c r="V30" s="67" t="s">
        <v>196</v>
      </c>
      <c r="W30" s="39" t="s">
        <v>245</v>
      </c>
      <c r="X30" s="94" t="s">
        <v>246</v>
      </c>
    </row>
    <row r="31" spans="1:24" s="28" customFormat="1" ht="38.450000000000003">
      <c r="A31" s="27">
        <v>24</v>
      </c>
      <c r="B31" s="29" t="s">
        <v>29</v>
      </c>
      <c r="C31" s="30" t="s">
        <v>81</v>
      </c>
      <c r="D31" s="88" t="s">
        <v>206</v>
      </c>
      <c r="E31" s="88"/>
      <c r="F31" s="88"/>
      <c r="G31" s="89" t="s">
        <v>247</v>
      </c>
      <c r="H31" s="88" t="s">
        <v>248</v>
      </c>
      <c r="I31" s="88" t="s">
        <v>249</v>
      </c>
      <c r="J31" s="33" t="s">
        <v>111</v>
      </c>
      <c r="K31" s="34" t="s">
        <v>137</v>
      </c>
      <c r="L31" s="90">
        <v>46184</v>
      </c>
      <c r="M31" s="90">
        <v>46184</v>
      </c>
      <c r="N31" s="12" t="s">
        <v>113</v>
      </c>
      <c r="O31" s="91" t="s">
        <v>126</v>
      </c>
      <c r="P31" s="91" t="s">
        <v>127</v>
      </c>
      <c r="Q31" s="90">
        <v>46184</v>
      </c>
      <c r="R31" s="92"/>
      <c r="S31" s="93"/>
      <c r="T31" s="38">
        <v>46190</v>
      </c>
      <c r="U31" s="38"/>
      <c r="V31" s="88"/>
      <c r="W31" s="39" t="s">
        <v>217</v>
      </c>
      <c r="X31" s="94" t="s">
        <v>250</v>
      </c>
    </row>
    <row r="32" spans="1:24" s="28" customFormat="1" ht="49.5" customHeight="1">
      <c r="A32" s="27">
        <v>25</v>
      </c>
      <c r="B32" s="29" t="s">
        <v>29</v>
      </c>
      <c r="C32" s="30" t="s">
        <v>81</v>
      </c>
      <c r="D32" s="88" t="s">
        <v>206</v>
      </c>
      <c r="E32" s="88"/>
      <c r="F32" s="88"/>
      <c r="G32" s="89" t="s">
        <v>251</v>
      </c>
      <c r="H32" s="88" t="s">
        <v>252</v>
      </c>
      <c r="I32" s="88" t="s">
        <v>253</v>
      </c>
      <c r="J32" s="33" t="s">
        <v>111</v>
      </c>
      <c r="K32" s="34" t="s">
        <v>137</v>
      </c>
      <c r="L32" s="90">
        <v>46185</v>
      </c>
      <c r="M32" s="90">
        <v>46185</v>
      </c>
      <c r="N32" s="12" t="s">
        <v>113</v>
      </c>
      <c r="O32" s="91" t="s">
        <v>132</v>
      </c>
      <c r="P32" s="91" t="s">
        <v>254</v>
      </c>
      <c r="Q32" s="90">
        <v>46184</v>
      </c>
      <c r="R32" s="92"/>
      <c r="S32" s="93"/>
      <c r="T32" s="38">
        <v>46190</v>
      </c>
      <c r="U32" s="38"/>
      <c r="V32" s="88"/>
      <c r="W32" s="39" t="s">
        <v>217</v>
      </c>
      <c r="X32" s="94" t="s">
        <v>255</v>
      </c>
    </row>
    <row r="33" spans="1:24" s="28" customFormat="1" ht="57" customHeight="1">
      <c r="A33" s="27">
        <v>26</v>
      </c>
      <c r="B33" s="29" t="s">
        <v>29</v>
      </c>
      <c r="C33" s="30" t="s">
        <v>105</v>
      </c>
      <c r="D33" s="88" t="s">
        <v>106</v>
      </c>
      <c r="E33" s="88" t="s">
        <v>132</v>
      </c>
      <c r="F33" s="88" t="s">
        <v>206</v>
      </c>
      <c r="G33" s="89" t="s">
        <v>256</v>
      </c>
      <c r="H33" s="88" t="s">
        <v>257</v>
      </c>
      <c r="I33" s="88" t="s">
        <v>258</v>
      </c>
      <c r="J33" s="33" t="s">
        <v>111</v>
      </c>
      <c r="K33" s="34" t="s">
        <v>229</v>
      </c>
      <c r="L33" s="90">
        <v>46195</v>
      </c>
      <c r="M33" s="90"/>
      <c r="N33" s="12" t="s">
        <v>138</v>
      </c>
      <c r="O33" s="91" t="s">
        <v>114</v>
      </c>
      <c r="P33" s="91" t="s">
        <v>259</v>
      </c>
      <c r="Q33" s="90">
        <v>46195</v>
      </c>
      <c r="R33" s="92"/>
      <c r="S33" s="93"/>
      <c r="T33" s="38"/>
      <c r="U33" s="38"/>
      <c r="V33" s="88"/>
      <c r="W33" s="39" t="s">
        <v>229</v>
      </c>
      <c r="X33" s="94" t="s">
        <v>260</v>
      </c>
    </row>
    <row r="34" spans="1:24" s="28" customFormat="1" ht="30" customHeight="1">
      <c r="A34" s="27">
        <v>27</v>
      </c>
      <c r="B34" s="29"/>
      <c r="C34" s="30"/>
      <c r="D34" s="88"/>
      <c r="E34" s="88"/>
      <c r="F34" s="88"/>
      <c r="G34" s="89"/>
      <c r="H34" s="88"/>
      <c r="I34" s="88"/>
      <c r="J34" s="33"/>
      <c r="K34" s="34"/>
      <c r="L34" s="90"/>
      <c r="M34" s="90"/>
      <c r="N34" s="12"/>
      <c r="O34" s="91"/>
      <c r="P34" s="91"/>
      <c r="Q34" s="90"/>
      <c r="R34" s="92"/>
      <c r="S34" s="93"/>
      <c r="T34" s="38"/>
      <c r="U34" s="38"/>
      <c r="V34" s="88"/>
      <c r="W34" s="39"/>
      <c r="X34" s="94"/>
    </row>
    <row r="35" spans="1:24" s="28" customFormat="1" ht="30" customHeight="1">
      <c r="A35" s="27">
        <v>28</v>
      </c>
      <c r="B35" s="29"/>
      <c r="C35" s="30"/>
      <c r="D35" s="88"/>
      <c r="E35" s="88"/>
      <c r="F35" s="88"/>
      <c r="G35" s="89"/>
      <c r="H35" s="88"/>
      <c r="I35" s="88"/>
      <c r="J35" s="33"/>
      <c r="K35" s="34"/>
      <c r="L35" s="90"/>
      <c r="M35" s="90"/>
      <c r="N35" s="12"/>
      <c r="O35" s="91"/>
      <c r="P35" s="91"/>
      <c r="Q35" s="90"/>
      <c r="R35" s="92"/>
      <c r="S35" s="93"/>
      <c r="T35" s="38"/>
      <c r="U35" s="38"/>
      <c r="V35" s="88"/>
      <c r="W35" s="39"/>
      <c r="X35" s="94"/>
    </row>
    <row r="36" spans="1:24" s="28" customFormat="1" ht="30" customHeight="1">
      <c r="A36" s="27">
        <v>29</v>
      </c>
      <c r="B36" s="29"/>
      <c r="C36" s="30"/>
      <c r="D36" s="88"/>
      <c r="E36" s="88"/>
      <c r="F36" s="88"/>
      <c r="G36" s="89"/>
      <c r="H36" s="88"/>
      <c r="I36" s="88"/>
      <c r="J36" s="33"/>
      <c r="K36" s="34"/>
      <c r="L36" s="90"/>
      <c r="M36" s="90"/>
      <c r="N36" s="12"/>
      <c r="O36" s="91"/>
      <c r="P36" s="91"/>
      <c r="Q36" s="90"/>
      <c r="R36" s="92"/>
      <c r="S36" s="93"/>
      <c r="T36" s="38"/>
      <c r="U36" s="38"/>
      <c r="V36" s="88"/>
      <c r="W36" s="39"/>
      <c r="X36" s="94"/>
    </row>
    <row r="37" spans="1:24" s="28" customFormat="1" ht="30" customHeight="1">
      <c r="A37" s="27">
        <v>30</v>
      </c>
      <c r="B37" s="29"/>
      <c r="C37" s="30"/>
      <c r="D37" s="88"/>
      <c r="E37" s="88"/>
      <c r="F37" s="88"/>
      <c r="G37" s="89"/>
      <c r="H37" s="88"/>
      <c r="I37" s="88"/>
      <c r="J37" s="33"/>
      <c r="K37" s="34"/>
      <c r="L37" s="90"/>
      <c r="M37" s="90"/>
      <c r="N37" s="12"/>
      <c r="O37" s="91"/>
      <c r="P37" s="91"/>
      <c r="Q37" s="90"/>
      <c r="R37" s="92"/>
      <c r="S37" s="93"/>
      <c r="T37" s="38"/>
      <c r="U37" s="38"/>
      <c r="V37" s="88"/>
      <c r="W37" s="39"/>
      <c r="X37" s="94"/>
    </row>
    <row r="38" spans="1:24" s="49" customFormat="1" ht="42">
      <c r="A38" s="148" t="s">
        <v>261</v>
      </c>
      <c r="B38" s="149"/>
      <c r="C38" s="149"/>
      <c r="D38" s="149"/>
      <c r="E38" s="149"/>
      <c r="F38" s="149"/>
      <c r="G38" s="149"/>
      <c r="H38" s="41"/>
      <c r="I38" s="42" t="s">
        <v>262</v>
      </c>
      <c r="J38" s="150">
        <v>17</v>
      </c>
      <c r="K38" s="151"/>
      <c r="L38" s="43" t="s">
        <v>263</v>
      </c>
      <c r="M38" s="44">
        <v>12</v>
      </c>
      <c r="N38" s="43" t="s">
        <v>264</v>
      </c>
      <c r="O38" s="45"/>
      <c r="P38" s="46" t="s">
        <v>265</v>
      </c>
      <c r="Q38" s="47">
        <v>4</v>
      </c>
      <c r="R38" s="152"/>
      <c r="S38" s="153"/>
      <c r="T38" s="153"/>
      <c r="U38" s="153"/>
      <c r="V38" s="153"/>
      <c r="W38" s="154"/>
      <c r="X38" s="48" t="s">
        <v>266</v>
      </c>
    </row>
  </sheetData>
  <autoFilter ref="A4:X38" xr:uid="{C222AE8C-7A98-4560-9241-E64BC27ED52F}">
    <filterColumn colId="2" showButton="0"/>
    <filterColumn colId="4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</autoFilter>
  <mergeCells count="41">
    <mergeCell ref="X4:X5"/>
    <mergeCell ref="G4:M4"/>
    <mergeCell ref="N4:P4"/>
    <mergeCell ref="A38:G38"/>
    <mergeCell ref="J38:K38"/>
    <mergeCell ref="R38:W38"/>
    <mergeCell ref="R4:R5"/>
    <mergeCell ref="S4:S5"/>
    <mergeCell ref="T4:T5"/>
    <mergeCell ref="U4:U5"/>
    <mergeCell ref="V4:V5"/>
    <mergeCell ref="W4:W5"/>
    <mergeCell ref="Q4:Q5"/>
    <mergeCell ref="A11:A12"/>
    <mergeCell ref="B11:B12"/>
    <mergeCell ref="C11:C12"/>
    <mergeCell ref="N11:N12"/>
    <mergeCell ref="O11:O12"/>
    <mergeCell ref="P11:P12"/>
    <mergeCell ref="Q11:Q12"/>
    <mergeCell ref="A3:B3"/>
    <mergeCell ref="A4:A5"/>
    <mergeCell ref="B4:B5"/>
    <mergeCell ref="C4:D4"/>
    <mergeCell ref="E4:F4"/>
    <mergeCell ref="R11:R12"/>
    <mergeCell ref="S11:S12"/>
    <mergeCell ref="T11:T12"/>
    <mergeCell ref="W11:W12"/>
    <mergeCell ref="D11:D12"/>
    <mergeCell ref="E11:E12"/>
    <mergeCell ref="F11:F12"/>
    <mergeCell ref="G11:G12"/>
    <mergeCell ref="V11:V12"/>
    <mergeCell ref="U11:U12"/>
    <mergeCell ref="H11:H12"/>
    <mergeCell ref="I11:I12"/>
    <mergeCell ref="J11:J12"/>
    <mergeCell ref="K11:K12"/>
    <mergeCell ref="L11:L12"/>
    <mergeCell ref="M11:M12"/>
  </mergeCells>
  <phoneticPr fontId="2" type="noConversion"/>
  <dataValidations count="8">
    <dataValidation type="list" allowBlank="1" showInputMessage="1" showErrorMessage="1" sqref="E10 C13:C14 C6:C11 C17:C29 C31:C37" xr:uid="{38D3208A-2F1B-4FF6-8CE9-ECF679CEDD38}">
      <formula1>"부사장,부문장,본부장,팀장,전무,상무,이사,수석,책임,선임,사원"</formula1>
    </dataValidation>
    <dataValidation type="list" allowBlank="1" showInputMessage="1" showErrorMessage="1" sqref="N6:N8 N10:N11 N13:N37" xr:uid="{BB38B5B7-9DC7-4BCF-8047-977ADFCA716D}">
      <formula1>"전략사업1본부,전략사업2본부,공공사업팀,IT사업부문,시스템팀,SI사업2본부,서비스사업본부,ICT사업부문,DIS본부,AICC본부"</formula1>
    </dataValidation>
    <dataValidation type="list" allowBlank="1" showInputMessage="1" showErrorMessage="1" sqref="N9" xr:uid="{5E44C42B-2654-40FE-B3A3-1153D0B83E18}">
      <formula1>"전략사업본부,공공사업팀,신사업팀,IT사업부문,시스템팀,SI사업2본부,클라우드사업본부"</formula1>
    </dataValidation>
    <dataValidation type="list" allowBlank="1" showInputMessage="1" showErrorMessage="1" sqref="N11" xr:uid="{4CCE4992-E0B7-47B2-8FBD-9EE65776C2F9}">
      <formula1>"전략사업본부,공공사업팀,신사업팀,IT사업부문,시스템팀,SI사업2본부,서비스사업본부,SI사업부문,DIS본부"</formula1>
    </dataValidation>
    <dataValidation type="list" allowBlank="1" showInputMessage="1" showErrorMessage="1" sqref="W13:W37 W6:W11" xr:uid="{74ABBEF0-DB88-47A5-9033-1FA31E0F2FE2}">
      <formula1>"WIN,LOSS,DROP,DELAY,결과대기,유찰,제안진행,이행중,수행중,완료,업무이관,사전규격검토,사전영업지원,수행중(WIN),업무지원"</formula1>
    </dataValidation>
    <dataValidation type="list" allowBlank="1" showInputMessage="1" showErrorMessage="1" sqref="W13:W37 W6:W11 K31:K37" xr:uid="{6771D548-0536-4B9A-A26B-F29B424598BE}">
      <formula1>"WIN,LOSS,DROP,DELAY,사업취소,결과대기,유찰,제안진행,수행중,업무이관,사전규격검토,사전영업지원,제출완료,수행중,수행중(WIN),수행완료(WIN),업무지원,지원완료"</formula1>
    </dataValidation>
    <dataValidation type="list" allowBlank="1" showInputMessage="1" showErrorMessage="1" sqref="B6:B11 B13:B37" xr:uid="{B9507AF4-8BC9-4C3B-9B87-DFCD096585C5}">
      <formula1>"PMO본부,기술부문,IT사업부문"</formula1>
    </dataValidation>
    <dataValidation type="list" allowBlank="1" showInputMessage="1" showErrorMessage="1" sqref="K6:K37" xr:uid="{B280A29A-4F3F-427E-A1B7-12B1475254F7}">
      <formula1>"DROP,DELAY,사업취소,유찰,제안진행,제안완료,수행중,업무이관,사전규격검토,사전영업지원,제출완료,수행중,수행중(WIN),수행완료(WIN),업무지원,지원완료"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1B26-6E51-400D-986E-71BD9CD6CF9A}">
  <dimension ref="A1:J26"/>
  <sheetViews>
    <sheetView zoomScale="96" zoomScaleNormal="96" workbookViewId="0">
      <selection activeCell="C22" sqref="C22"/>
    </sheetView>
  </sheetViews>
  <sheetFormatPr defaultRowHeight="17.45"/>
  <cols>
    <col min="1" max="1" width="5.25" bestFit="1" customWidth="1"/>
    <col min="2" max="2" width="72" customWidth="1"/>
    <col min="3" max="3" width="13.75" bestFit="1" customWidth="1"/>
    <col min="4" max="4" width="9.75" customWidth="1"/>
    <col min="5" max="5" width="5.25" bestFit="1" customWidth="1"/>
    <col min="6" max="6" width="17.375" customWidth="1"/>
    <col min="7" max="7" width="14.5" customWidth="1"/>
    <col min="8" max="8" width="16.25" customWidth="1"/>
    <col min="9" max="9" width="11.875" customWidth="1"/>
    <col min="10" max="10" width="12.625" customWidth="1"/>
  </cols>
  <sheetData>
    <row r="1" spans="1:10">
      <c r="A1" s="50" t="s">
        <v>3</v>
      </c>
      <c r="B1" s="50" t="s">
        <v>267</v>
      </c>
      <c r="C1" s="50" t="s">
        <v>268</v>
      </c>
      <c r="D1" s="50" t="s">
        <v>269</v>
      </c>
      <c r="E1" s="50" t="s">
        <v>270</v>
      </c>
      <c r="F1" s="50" t="s">
        <v>271</v>
      </c>
      <c r="G1" s="50" t="s">
        <v>272</v>
      </c>
      <c r="H1" s="50" t="s">
        <v>273</v>
      </c>
      <c r="I1" s="50" t="s">
        <v>274</v>
      </c>
      <c r="J1" s="50" t="s">
        <v>275</v>
      </c>
    </row>
    <row r="2" spans="1:10" s="62" customFormat="1">
      <c r="A2" s="61">
        <v>1</v>
      </c>
      <c r="B2" s="65" t="s">
        <v>276</v>
      </c>
      <c r="C2" s="52" t="s">
        <v>109</v>
      </c>
      <c r="D2" s="53" t="s">
        <v>277</v>
      </c>
      <c r="E2" s="52" t="s">
        <v>278</v>
      </c>
      <c r="F2" s="52" t="s">
        <v>279</v>
      </c>
      <c r="G2" s="52" t="s">
        <v>280</v>
      </c>
      <c r="H2" s="52" t="s">
        <v>117</v>
      </c>
      <c r="I2" s="52"/>
      <c r="J2" s="52"/>
    </row>
    <row r="3" spans="1:10">
      <c r="A3" s="61">
        <v>2</v>
      </c>
      <c r="B3" s="51" t="s">
        <v>281</v>
      </c>
      <c r="C3" s="52" t="s">
        <v>282</v>
      </c>
      <c r="D3" s="53" t="s">
        <v>283</v>
      </c>
      <c r="E3" s="52" t="s">
        <v>278</v>
      </c>
      <c r="F3" s="52" t="s">
        <v>279</v>
      </c>
      <c r="G3" s="52" t="s">
        <v>284</v>
      </c>
      <c r="H3" s="52" t="s">
        <v>223</v>
      </c>
      <c r="I3" s="54"/>
      <c r="J3" s="54"/>
    </row>
    <row r="4" spans="1:10">
      <c r="A4" s="61">
        <v>3</v>
      </c>
      <c r="B4" s="51" t="s">
        <v>285</v>
      </c>
      <c r="C4" s="52" t="s">
        <v>135</v>
      </c>
      <c r="D4" s="53" t="s">
        <v>286</v>
      </c>
      <c r="E4" s="52"/>
      <c r="F4" s="52" t="s">
        <v>287</v>
      </c>
      <c r="G4" s="52" t="s">
        <v>288</v>
      </c>
      <c r="H4" s="52" t="s">
        <v>289</v>
      </c>
      <c r="I4" s="54"/>
      <c r="J4" s="54"/>
    </row>
    <row r="5" spans="1:10" ht="15.6" customHeight="1">
      <c r="A5" s="61">
        <v>4</v>
      </c>
      <c r="B5" s="51" t="s">
        <v>290</v>
      </c>
      <c r="C5" s="52" t="s">
        <v>142</v>
      </c>
      <c r="D5" s="53" t="s">
        <v>291</v>
      </c>
      <c r="E5" s="52" t="s">
        <v>278</v>
      </c>
      <c r="F5" s="52" t="s">
        <v>279</v>
      </c>
      <c r="G5" s="52" t="s">
        <v>292</v>
      </c>
      <c r="H5" s="52" t="s">
        <v>289</v>
      </c>
      <c r="I5" s="54"/>
      <c r="J5" s="54"/>
    </row>
    <row r="6" spans="1:10">
      <c r="A6" s="61">
        <v>5</v>
      </c>
      <c r="B6" s="51" t="s">
        <v>293</v>
      </c>
      <c r="C6" s="52" t="s">
        <v>151</v>
      </c>
      <c r="D6" s="53" t="s">
        <v>277</v>
      </c>
      <c r="E6" s="63" t="s">
        <v>278</v>
      </c>
      <c r="F6" s="52" t="s">
        <v>279</v>
      </c>
      <c r="G6" s="52" t="s">
        <v>294</v>
      </c>
      <c r="H6" s="52" t="s">
        <v>223</v>
      </c>
      <c r="I6" s="54"/>
      <c r="J6" s="54"/>
    </row>
    <row r="7" spans="1:10">
      <c r="A7" s="61">
        <v>6</v>
      </c>
      <c r="B7" s="51" t="s">
        <v>295</v>
      </c>
      <c r="C7" s="52" t="s">
        <v>296</v>
      </c>
      <c r="D7" s="53" t="s">
        <v>283</v>
      </c>
      <c r="E7" s="52" t="s">
        <v>278</v>
      </c>
      <c r="F7" s="52" t="s">
        <v>297</v>
      </c>
      <c r="G7" s="52" t="s">
        <v>298</v>
      </c>
      <c r="H7" s="52" t="s">
        <v>187</v>
      </c>
      <c r="I7" s="54"/>
      <c r="J7" s="54"/>
    </row>
    <row r="8" spans="1:10">
      <c r="A8" s="61">
        <v>7</v>
      </c>
      <c r="B8" s="51" t="s">
        <v>299</v>
      </c>
      <c r="C8" s="52" t="s">
        <v>168</v>
      </c>
      <c r="D8" s="53" t="s">
        <v>283</v>
      </c>
      <c r="E8" s="63" t="s">
        <v>278</v>
      </c>
      <c r="F8" s="52" t="s">
        <v>279</v>
      </c>
      <c r="G8" s="52" t="s">
        <v>300</v>
      </c>
      <c r="H8" s="52" t="s">
        <v>223</v>
      </c>
      <c r="I8" s="54"/>
      <c r="J8" s="54"/>
    </row>
    <row r="9" spans="1:10">
      <c r="A9" s="61">
        <v>8</v>
      </c>
      <c r="B9" s="51" t="s">
        <v>301</v>
      </c>
      <c r="C9" s="52" t="s">
        <v>302</v>
      </c>
      <c r="D9" s="53" t="s">
        <v>283</v>
      </c>
      <c r="E9" s="52" t="s">
        <v>303</v>
      </c>
      <c r="F9" s="52" t="s">
        <v>279</v>
      </c>
      <c r="G9" s="52" t="s">
        <v>304</v>
      </c>
      <c r="H9" s="52" t="s">
        <v>187</v>
      </c>
      <c r="I9" s="54"/>
      <c r="J9" s="54"/>
    </row>
    <row r="10" spans="1:10">
      <c r="A10" s="61">
        <v>9</v>
      </c>
      <c r="B10" s="51" t="s">
        <v>305</v>
      </c>
      <c r="C10" s="52" t="s">
        <v>306</v>
      </c>
      <c r="D10" s="53" t="s">
        <v>283</v>
      </c>
      <c r="E10" s="63" t="s">
        <v>278</v>
      </c>
      <c r="F10" s="52" t="s">
        <v>279</v>
      </c>
      <c r="G10" s="52" t="s">
        <v>307</v>
      </c>
      <c r="H10" s="52" t="s">
        <v>187</v>
      </c>
      <c r="I10" s="54"/>
      <c r="J10" s="54"/>
    </row>
    <row r="11" spans="1:10">
      <c r="A11" s="61">
        <v>10</v>
      </c>
      <c r="B11" s="51" t="s">
        <v>308</v>
      </c>
      <c r="C11" s="52" t="s">
        <v>191</v>
      </c>
      <c r="D11" s="53" t="s">
        <v>309</v>
      </c>
      <c r="E11" s="52" t="s">
        <v>303</v>
      </c>
      <c r="F11" s="52" t="s">
        <v>193</v>
      </c>
      <c r="G11" s="52" t="s">
        <v>310</v>
      </c>
      <c r="H11" s="52" t="s">
        <v>223</v>
      </c>
      <c r="I11" s="54"/>
      <c r="J11" s="54"/>
    </row>
    <row r="12" spans="1:10">
      <c r="A12" s="61">
        <v>11</v>
      </c>
      <c r="B12" s="51" t="s">
        <v>311</v>
      </c>
      <c r="C12" s="52" t="s">
        <v>201</v>
      </c>
      <c r="D12" s="53" t="s">
        <v>312</v>
      </c>
      <c r="E12" s="52" t="s">
        <v>278</v>
      </c>
      <c r="F12" s="52" t="s">
        <v>297</v>
      </c>
      <c r="G12" s="52" t="s">
        <v>298</v>
      </c>
      <c r="H12" s="52" t="s">
        <v>204</v>
      </c>
      <c r="I12" s="54"/>
      <c r="J12" s="54"/>
    </row>
    <row r="13" spans="1:10">
      <c r="A13" s="61">
        <v>12</v>
      </c>
      <c r="B13" s="55" t="s">
        <v>313</v>
      </c>
      <c r="C13" s="52" t="s">
        <v>314</v>
      </c>
      <c r="D13" s="53" t="s">
        <v>217</v>
      </c>
      <c r="E13" s="52" t="s">
        <v>278</v>
      </c>
      <c r="F13" s="52" t="s">
        <v>279</v>
      </c>
      <c r="G13" s="56" t="s">
        <v>315</v>
      </c>
      <c r="H13" s="56" t="s">
        <v>316</v>
      </c>
      <c r="I13" s="54"/>
      <c r="J13" s="54"/>
    </row>
    <row r="14" spans="1:10">
      <c r="A14" s="61">
        <v>13</v>
      </c>
      <c r="B14" s="51" t="s">
        <v>317</v>
      </c>
      <c r="C14" s="52" t="s">
        <v>216</v>
      </c>
      <c r="D14" s="53" t="s">
        <v>318</v>
      </c>
      <c r="E14" s="52" t="s">
        <v>278</v>
      </c>
      <c r="F14" s="52" t="s">
        <v>279</v>
      </c>
      <c r="G14" s="52" t="s">
        <v>292</v>
      </c>
      <c r="H14" s="52" t="s">
        <v>319</v>
      </c>
      <c r="I14" s="96"/>
      <c r="J14" s="96"/>
    </row>
    <row r="15" spans="1:10">
      <c r="A15" s="61">
        <v>14</v>
      </c>
      <c r="B15" s="96" t="s">
        <v>320</v>
      </c>
      <c r="C15" s="52" t="s">
        <v>321</v>
      </c>
      <c r="D15" s="53" t="s">
        <v>309</v>
      </c>
      <c r="E15" s="52" t="s">
        <v>278</v>
      </c>
      <c r="F15" s="52" t="s">
        <v>279</v>
      </c>
      <c r="G15" s="52" t="s">
        <v>322</v>
      </c>
      <c r="H15" s="52" t="s">
        <v>223</v>
      </c>
      <c r="I15" s="96"/>
      <c r="J15" s="96"/>
    </row>
    <row r="16" spans="1:10">
      <c r="A16" s="61">
        <v>15</v>
      </c>
      <c r="B16" s="96" t="s">
        <v>323</v>
      </c>
      <c r="C16" s="52" t="s">
        <v>324</v>
      </c>
      <c r="D16" s="53" t="s">
        <v>318</v>
      </c>
      <c r="E16" s="52" t="s">
        <v>278</v>
      </c>
      <c r="F16" s="52" t="s">
        <v>279</v>
      </c>
      <c r="G16" s="52" t="s">
        <v>304</v>
      </c>
      <c r="H16" s="52" t="s">
        <v>204</v>
      </c>
      <c r="I16" s="96"/>
      <c r="J16" s="96"/>
    </row>
    <row r="17" spans="1:10">
      <c r="A17" s="61">
        <v>16</v>
      </c>
      <c r="B17" s="96" t="s">
        <v>325</v>
      </c>
      <c r="C17" s="52" t="s">
        <v>326</v>
      </c>
      <c r="D17" s="53" t="s">
        <v>312</v>
      </c>
      <c r="E17" s="52" t="s">
        <v>278</v>
      </c>
      <c r="F17" s="52" t="s">
        <v>297</v>
      </c>
      <c r="G17" s="52" t="s">
        <v>298</v>
      </c>
      <c r="H17" s="52" t="s">
        <v>204</v>
      </c>
      <c r="I17" s="96"/>
      <c r="J17" s="96"/>
    </row>
    <row r="18" spans="1:10">
      <c r="A18" s="61">
        <v>17</v>
      </c>
      <c r="B18" s="96" t="s">
        <v>327</v>
      </c>
      <c r="C18" s="52" t="s">
        <v>235</v>
      </c>
      <c r="D18" s="53" t="s">
        <v>217</v>
      </c>
      <c r="E18" s="52" t="s">
        <v>278</v>
      </c>
      <c r="F18" s="61" t="s">
        <v>328</v>
      </c>
      <c r="G18" s="61" t="s">
        <v>329</v>
      </c>
      <c r="H18" s="52" t="s">
        <v>319</v>
      </c>
      <c r="I18" s="96"/>
      <c r="J18" s="96"/>
    </row>
    <row r="19" spans="1:10">
      <c r="A19" s="61">
        <v>18</v>
      </c>
      <c r="B19" s="96" t="s">
        <v>330</v>
      </c>
      <c r="C19" s="52" t="s">
        <v>242</v>
      </c>
      <c r="D19" s="53" t="s">
        <v>318</v>
      </c>
      <c r="E19" s="52" t="s">
        <v>278</v>
      </c>
      <c r="F19" s="52" t="s">
        <v>193</v>
      </c>
      <c r="G19" s="61" t="s">
        <v>331</v>
      </c>
      <c r="H19" s="61" t="s">
        <v>332</v>
      </c>
      <c r="I19" s="96"/>
      <c r="J19" s="96"/>
    </row>
    <row r="20" spans="1:10">
      <c r="A20" s="61">
        <v>19</v>
      </c>
      <c r="B20" s="96" t="s">
        <v>333</v>
      </c>
      <c r="C20" s="52" t="s">
        <v>248</v>
      </c>
      <c r="D20" s="53" t="s">
        <v>217</v>
      </c>
      <c r="E20" s="52" t="s">
        <v>278</v>
      </c>
      <c r="F20" s="52" t="s">
        <v>279</v>
      </c>
      <c r="G20" s="61" t="s">
        <v>334</v>
      </c>
      <c r="H20" s="56" t="s">
        <v>316</v>
      </c>
      <c r="I20" s="96"/>
      <c r="J20" s="96"/>
    </row>
    <row r="21" spans="1:10">
      <c r="A21" s="61">
        <v>20</v>
      </c>
      <c r="B21" s="96" t="s">
        <v>335</v>
      </c>
      <c r="C21" s="52" t="s">
        <v>252</v>
      </c>
      <c r="D21" s="53" t="s">
        <v>217</v>
      </c>
      <c r="E21" s="52" t="s">
        <v>278</v>
      </c>
      <c r="F21" s="52" t="s">
        <v>279</v>
      </c>
      <c r="G21" s="61" t="s">
        <v>336</v>
      </c>
      <c r="H21" s="56" t="s">
        <v>316</v>
      </c>
      <c r="I21" s="96"/>
      <c r="J21" s="96"/>
    </row>
    <row r="22" spans="1:10">
      <c r="A22" s="61">
        <v>21</v>
      </c>
      <c r="B22" s="96" t="s">
        <v>337</v>
      </c>
      <c r="C22" s="52" t="s">
        <v>257</v>
      </c>
      <c r="D22" s="53" t="s">
        <v>318</v>
      </c>
      <c r="E22" s="52" t="s">
        <v>278</v>
      </c>
      <c r="F22" s="52" t="s">
        <v>287</v>
      </c>
      <c r="G22" s="52" t="s">
        <v>288</v>
      </c>
      <c r="H22" s="52" t="s">
        <v>117</v>
      </c>
      <c r="I22" s="96"/>
      <c r="J22" s="96"/>
    </row>
    <row r="23" spans="1:10">
      <c r="A23" s="61">
        <v>22</v>
      </c>
      <c r="B23" s="96"/>
      <c r="C23" s="96"/>
      <c r="D23" s="96"/>
      <c r="E23" s="96"/>
      <c r="F23" s="61"/>
      <c r="G23" s="61"/>
      <c r="H23" s="61"/>
      <c r="I23" s="96"/>
      <c r="J23" s="96"/>
    </row>
    <row r="24" spans="1:10">
      <c r="A24" s="61">
        <v>23</v>
      </c>
      <c r="B24" s="96"/>
      <c r="C24" s="96"/>
      <c r="D24" s="96"/>
      <c r="E24" s="96"/>
      <c r="F24" s="61"/>
      <c r="G24" s="61"/>
      <c r="H24" s="61"/>
      <c r="I24" s="96"/>
      <c r="J24" s="96"/>
    </row>
    <row r="25" spans="1:10">
      <c r="A25" s="61">
        <v>24</v>
      </c>
      <c r="B25" s="96"/>
      <c r="C25" s="96"/>
      <c r="D25" s="96"/>
      <c r="E25" s="96"/>
      <c r="F25" s="61"/>
      <c r="G25" s="61"/>
      <c r="H25" s="61"/>
      <c r="I25" s="96"/>
      <c r="J25" s="96"/>
    </row>
    <row r="26" spans="1:10">
      <c r="A26" s="61">
        <v>25</v>
      </c>
      <c r="B26" s="96"/>
      <c r="C26" s="96"/>
      <c r="D26" s="96"/>
      <c r="E26" s="96"/>
      <c r="F26" s="61"/>
      <c r="G26" s="61"/>
      <c r="H26" s="61"/>
      <c r="I26" s="96"/>
      <c r="J26" s="96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A96676F7763842BEB97D775A530BC5" ma:contentTypeVersion="14" ma:contentTypeDescription="새 문서를 만듭니다." ma:contentTypeScope="" ma:versionID="801b18bf6bb19e58859814227bcb8397">
  <xsd:schema xmlns:xsd="http://www.w3.org/2001/XMLSchema" xmlns:xs="http://www.w3.org/2001/XMLSchema" xmlns:p="http://schemas.microsoft.com/office/2006/metadata/properties" xmlns:ns2="33250c33-706b-43c1-a30f-48a929158ae3" xmlns:ns3="985cac21-6ba8-4e75-9208-fe5e012c4cdf" targetNamespace="http://schemas.microsoft.com/office/2006/metadata/properties" ma:root="true" ma:fieldsID="16b870a3892590fee5b29533ec79f77a" ns2:_="" ns3:_="">
    <xsd:import namespace="33250c33-706b-43c1-a30f-48a929158ae3"/>
    <xsd:import namespace="985cac21-6ba8-4e75-9208-fe5e012c4c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50c33-706b-43c1-a30f-48a929158a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ac21-6ba8-4e75-9208-fe5e012c4c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7c1c5-41f0-4af3-9f6f-7fdfeacc1fdf}" ma:internalName="TaxCatchAll" ma:showField="CatchAllData" ma:web="985cac21-6ba8-4e75-9208-fe5e012c4c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50c33-706b-43c1-a30f-48a929158ae3">
      <Terms xmlns="http://schemas.microsoft.com/office/infopath/2007/PartnerControls"/>
    </lcf76f155ced4ddcb4097134ff3c332f>
    <TaxCatchAll xmlns="985cac21-6ba8-4e75-9208-fe5e012c4cdf" xsi:nil="true"/>
  </documentManagement>
</p:properties>
</file>

<file path=customXml/itemProps1.xml><?xml version="1.0" encoding="utf-8"?>
<ds:datastoreItem xmlns:ds="http://schemas.openxmlformats.org/officeDocument/2006/customXml" ds:itemID="{42481E45-D18D-4835-80E7-9510A0AD4297}"/>
</file>

<file path=customXml/itemProps2.xml><?xml version="1.0" encoding="utf-8"?>
<ds:datastoreItem xmlns:ds="http://schemas.openxmlformats.org/officeDocument/2006/customXml" ds:itemID="{698741FC-52DE-4DA3-B388-C3E9637A2F87}"/>
</file>

<file path=customXml/itemProps3.xml><?xml version="1.0" encoding="utf-8"?>
<ds:datastoreItem xmlns:ds="http://schemas.openxmlformats.org/officeDocument/2006/customXml" ds:itemID="{0E24C91C-275F-440D-964F-73D1066E8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윤영운</dc:creator>
  <cp:keywords/>
  <dc:description/>
  <cp:lastModifiedBy>이문희</cp:lastModifiedBy>
  <cp:revision/>
  <dcterms:created xsi:type="dcterms:W3CDTF">2026-01-05T04:32:26Z</dcterms:created>
  <dcterms:modified xsi:type="dcterms:W3CDTF">2026-06-24T06:39:54Z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0x01010034A96676F7763842BEB97D775A530BC5</vt:lpwstr>
  </property>
  <property fmtid="{D5CDD505-2E9C-101B-9397-08002B2CF9AE}" pid="3" name="MediaServiceImageTags">
    <vt:lpwstr/>
  </property>
  <property fmtid="{D5CDD505-2E9C-101B-9397-08002B2CF9AE}" pid="4" name="Order">
    <vt:r8>5887200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