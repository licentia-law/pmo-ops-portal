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mtinfo.sharepoint.com/sites/pmo_div/2 PMO_/[1] PMO본부 업무 현황/01. PMO본부 업무 수행 현황/"/>
    </mc:Choice>
  </mc:AlternateContent>
  <xr:revisionPtr revIDLastSave="869" documentId="8_{E8162700-05F7-4A0B-80A6-0C6D7C02B80D}" xr6:coauthVersionLast="47" xr6:coauthVersionMax="47" xr10:uidLastSave="{439B24C4-431B-4A97-BDD6-2D5192EAB389}"/>
  <bookViews>
    <workbookView xWindow="-120" yWindow="-16500" windowWidth="29040" windowHeight="15720" xr2:uid="{176080B0-38EF-42A3-A6E8-F29B9A37D012}"/>
  </bookViews>
  <sheets>
    <sheet name="업무수행현황" sheetId="1" r:id="rId1"/>
    <sheet name="프로젝트코드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1" l="1"/>
  <c r="A23" i="1"/>
  <c r="A24" i="1"/>
  <c r="A19" i="1"/>
  <c r="A20" i="1"/>
  <c r="A21" i="1"/>
  <c r="A22" i="1"/>
  <c r="A13" i="1"/>
  <c r="A18" i="1"/>
  <c r="A17" i="1"/>
  <c r="A15" i="1"/>
  <c r="A14" i="1"/>
  <c r="A12" i="1"/>
  <c r="A11" i="1"/>
  <c r="A10" i="1"/>
  <c r="A9" i="1"/>
  <c r="A8" i="1"/>
  <c r="A7" i="1"/>
  <c r="A6" i="1"/>
</calcChain>
</file>

<file path=xl/sharedStrings.xml><?xml version="1.0" encoding="utf-8"?>
<sst xmlns="http://schemas.openxmlformats.org/spreadsheetml/2006/main" count="411" uniqueCount="255">
  <si>
    <t>■ 2026년도 PMO본부 업무수행 현황</t>
    <phoneticPr fontId="2" type="noConversion"/>
  </si>
  <si>
    <t>: 제안</t>
  </si>
  <si>
    <t>: 수행</t>
  </si>
  <si>
    <t>순번</t>
    <phoneticPr fontId="2" type="noConversion"/>
  </si>
  <si>
    <t>팀명</t>
    <phoneticPr fontId="2" type="noConversion"/>
  </si>
  <si>
    <t>정</t>
    <phoneticPr fontId="2" type="noConversion"/>
  </si>
  <si>
    <t>부</t>
    <phoneticPr fontId="2" type="noConversion"/>
  </si>
  <si>
    <t>사업 지원 현황</t>
    <phoneticPr fontId="2" type="noConversion"/>
  </si>
  <si>
    <t>사업 주관 부서</t>
  </si>
  <si>
    <t>사업지원
접수일</t>
  </si>
  <si>
    <t>사업공고번호
(사전공고번호)</t>
    <phoneticPr fontId="2" type="noConversion"/>
  </si>
  <si>
    <t>사업
공고일</t>
  </si>
  <si>
    <t>제안
제출일</t>
    <phoneticPr fontId="2" type="noConversion"/>
  </si>
  <si>
    <t>제안
발표일</t>
    <phoneticPr fontId="2" type="noConversion"/>
  </si>
  <si>
    <t>발표/이행
PM</t>
    <phoneticPr fontId="2" type="noConversion"/>
  </si>
  <si>
    <t>PJT결과
진행상황</t>
    <phoneticPr fontId="2" type="noConversion"/>
  </si>
  <si>
    <t>기타사항</t>
  </si>
  <si>
    <t>직급</t>
    <phoneticPr fontId="2" type="noConversion"/>
  </si>
  <si>
    <t>성명</t>
    <phoneticPr fontId="2" type="noConversion"/>
  </si>
  <si>
    <t>사업명</t>
    <phoneticPr fontId="2" type="noConversion"/>
  </si>
  <si>
    <t>프로젝트코트
(PMO본부 자체)</t>
    <phoneticPr fontId="2" type="noConversion"/>
  </si>
  <si>
    <t>사업금액
전체/당사</t>
    <phoneticPr fontId="2" type="noConversion"/>
  </si>
  <si>
    <t>사업유형</t>
    <phoneticPr fontId="2" type="noConversion"/>
  </si>
  <si>
    <t>단계</t>
    <phoneticPr fontId="2" type="noConversion"/>
  </si>
  <si>
    <t>지원시작일</t>
    <phoneticPr fontId="2" type="noConversion"/>
  </si>
  <si>
    <t>지원완료일</t>
    <phoneticPr fontId="2" type="noConversion"/>
  </si>
  <si>
    <t>부서</t>
  </si>
  <si>
    <t>직급</t>
  </si>
  <si>
    <t>담당자</t>
  </si>
  <si>
    <t>PMO본부</t>
  </si>
  <si>
    <t>이사</t>
  </si>
  <si>
    <t>조재훈</t>
  </si>
  <si>
    <t>이사
수석
책임</t>
    <phoneticPr fontId="10" type="noConversion"/>
  </si>
  <si>
    <t>김성필
최낙영
이택호</t>
  </si>
  <si>
    <t>[서울교통공사]  
1~4호선 네트워크 유지보수 용역</t>
    <phoneticPr fontId="10" type="noConversion"/>
  </si>
  <si>
    <t>P202400016</t>
    <phoneticPr fontId="10" type="noConversion"/>
  </si>
  <si>
    <t>14억 /
11.9억</t>
    <phoneticPr fontId="10" type="noConversion"/>
  </si>
  <si>
    <t>주사업</t>
  </si>
  <si>
    <t>수행중(WIN)</t>
  </si>
  <si>
    <t>전략사업본부</t>
  </si>
  <si>
    <t>상무</t>
  </si>
  <si>
    <t>이충렬</t>
  </si>
  <si>
    <t>2024-07-10
(현장 제출)</t>
  </si>
  <si>
    <t>2024-07-12
제출서류평가</t>
  </si>
  <si>
    <t>발표없음/
조재훈</t>
  </si>
  <si>
    <t>- 수행기간 : '24/08/01 ~ '27/07/31(3년)
- 수행인원(4) : 심성훈PM, 김성필수석, 최낙영책임, 이택호선임
- 유지보수 장애처리: 28건(03/31 기준) 
- 서울교통공사 NMS 교체 작업 이슈
   ○ 서울교통공사 업무망 NMS 교체용 서버 수급 문제 발생
     ▷ 업무망 NMS 교체용 서버 공급을 서울교통공사 내부 타 사업 물량으로 조달하는데 문제 발생 
     ▷ 타 사업의 사업자가 계약상 문제를 제기함, 서울교통공사 내부적으로 문제 해결 중
- 4/3 3월 실적보고 및 대금청구 공문 발송
- 서울교통공사 이건호대리 이민형부장 진접차량기지 이전 망구조 변경 미팅
- 비상대응훈련(장애복구훈) 진행
 ○일 시 : 2026년4월15일(수)2시~3시30분, 구의역 역무실
 ○참석자 : 심성훈이사 김성필수석 최낙연책임 이택호선임
- 진접차량기지 업무망,인터넷망 기존 static routing=&gt;ospf 구성으로 변경 작업
 ○일시 : 2026년4월21일01시
- 안전보건에 관한 협의체 회의 참석
-최낙영 책임 알카텔 시험응시 확정
 ○일시 : 2026년5월11일~15일
 ○자격증 취득 후 이충렬상무와 PL교체관련 협의</t>
  </si>
  <si>
    <t>이광만</t>
  </si>
  <si>
    <t>[한전산업개발]
인터넷빌링시스템(도로조명시스템 포함) 유지보수 용역</t>
    <phoneticPr fontId="10" type="noConversion"/>
  </si>
  <si>
    <t>P202400042</t>
    <phoneticPr fontId="10" type="noConversion"/>
  </si>
  <si>
    <t>1.9억</t>
    <phoneticPr fontId="10" type="noConversion"/>
  </si>
  <si>
    <t>주사업</t>
    <phoneticPr fontId="10" type="noConversion"/>
  </si>
  <si>
    <t>SI사업부문</t>
  </si>
  <si>
    <t>이사</t>
    <phoneticPr fontId="10" type="noConversion"/>
  </si>
  <si>
    <t>정영덕</t>
    <phoneticPr fontId="10" type="noConversion"/>
  </si>
  <si>
    <t>2024-09-25 (공고)
2024-10-08 (재공고)</t>
  </si>
  <si>
    <t>2024-10-14
(온라인 제출)</t>
    <phoneticPr fontId="10" type="noConversion"/>
  </si>
  <si>
    <t>- 수행기간: '24/10/16 ~ '26/01/15 (15개월) + 26/07/15 (6개월 연장)
- 수행인원: 이광만PM(비상주)
- 인터넷빌링, 도로조명시스템, 보이스앱 등 운영지원 및 유지보수 사업
- 기존 수행/개발 상주인력 승계
- 비상주 PM 지원</t>
  </si>
  <si>
    <t>고광종</t>
    <phoneticPr fontId="10" type="noConversion"/>
  </si>
  <si>
    <t>[재능대학교]
정보시스템 통합유지보수용역</t>
    <phoneticPr fontId="10" type="noConversion"/>
  </si>
  <si>
    <t>P202500006</t>
    <phoneticPr fontId="10" type="noConversion"/>
  </si>
  <si>
    <t>5.6억
(3년)</t>
    <phoneticPr fontId="10" type="noConversion"/>
  </si>
  <si>
    <t>상무</t>
    <phoneticPr fontId="10" type="noConversion"/>
  </si>
  <si>
    <t>이충렬</t>
    <phoneticPr fontId="10" type="noConversion"/>
  </si>
  <si>
    <t>2024-018</t>
    <phoneticPr fontId="10" type="noConversion"/>
  </si>
  <si>
    <t>2025-02-20
14:00</t>
    <phoneticPr fontId="10" type="noConversion"/>
  </si>
  <si>
    <t>2025-02-20
14:00 (현장 발표)</t>
    <phoneticPr fontId="10" type="noConversion"/>
  </si>
  <si>
    <t>고광종 이사</t>
    <phoneticPr fontId="10" type="noConversion"/>
  </si>
  <si>
    <t>- 수행기간: 2025.03월 ~ 2028년 02월 (36개월)
- PM 업무 : 매월 정기점검 보고서 취합 및 통합 보고서 작성 및 제출
               기타 장애 발생 시 1차 접수 및 대응</t>
  </si>
  <si>
    <t>심우정</t>
    <phoneticPr fontId="10" type="noConversion"/>
  </si>
  <si>
    <t>수석</t>
    <phoneticPr fontId="10" type="noConversion"/>
  </si>
  <si>
    <t>김찬호</t>
    <phoneticPr fontId="10" type="noConversion"/>
  </si>
  <si>
    <t>[대법원] 
2025년 망분리 노후장비 교체 사업(긴급공고)</t>
    <phoneticPr fontId="10" type="noConversion"/>
  </si>
  <si>
    <t>P202500024</t>
    <phoneticPr fontId="10" type="noConversion"/>
  </si>
  <si>
    <t>33억</t>
    <phoneticPr fontId="10" type="noConversion"/>
  </si>
  <si>
    <t>완료</t>
  </si>
  <si>
    <t>김형기</t>
    <phoneticPr fontId="10" type="noConversion"/>
  </si>
  <si>
    <t>R25BK00928019</t>
    <phoneticPr fontId="10" type="noConversion"/>
  </si>
  <si>
    <t>2025-08-12
(조달 오프라인PT)</t>
    <phoneticPr fontId="10" type="noConversion"/>
  </si>
  <si>
    <t>심우정이사</t>
    <phoneticPr fontId="10" type="noConversion"/>
  </si>
  <si>
    <t xml:space="preserve">- 수행기간 : '25/08/25 ~ '26/03/23, 계약기간 3개월 연장 공문 접수(11/24)
- 수행인원(2) : 심우정PM, 이도원수석(03/23철수촉탁) 김찬호수석(01/20철수), 이길주이사(촉탁,01/20철수)
    ○ 검수계획 및 검수 / 운영이관 및 사업종료
         → 사업수행 개별 노트북 4대 반납 완료
         → 3월 23일 : 법원행정처로 부터 검사결과 통지받음 </t>
    <phoneticPr fontId="2" type="noConversion"/>
  </si>
  <si>
    <t>책임</t>
  </si>
  <si>
    <t>박승준</t>
    <phoneticPr fontId="10" type="noConversion"/>
  </si>
  <si>
    <r>
      <t xml:space="preserve">[인천국제공항공사]
상용인터넷망 및 무선인프라 개선사업
</t>
    </r>
    <r>
      <rPr>
        <sz val="12"/>
        <color rgb="FF0070C0"/>
        <rFont val="맑은 고딕"/>
        <family val="3"/>
        <charset val="129"/>
      </rPr>
      <t>박승준 : 09/26~</t>
    </r>
    <r>
      <rPr>
        <sz val="12"/>
        <rFont val="맑은 고딕"/>
        <family val="3"/>
        <charset val="129"/>
      </rPr>
      <t xml:space="preserve">
</t>
    </r>
    <r>
      <rPr>
        <sz val="12"/>
        <color rgb="FF0070C0"/>
        <rFont val="맑은 고딕"/>
        <family val="3"/>
        <charset val="129"/>
      </rPr>
      <t>고광종 : 안전관리자(사업기간)참여</t>
    </r>
    <phoneticPr fontId="10" type="noConversion"/>
  </si>
  <si>
    <t>P202500036</t>
  </si>
  <si>
    <t>93.5억</t>
    <phoneticPr fontId="10" type="noConversion"/>
  </si>
  <si>
    <t>수행중</t>
  </si>
  <si>
    <t>IT사업부문</t>
  </si>
  <si>
    <t>부사장</t>
    <phoneticPr fontId="10" type="noConversion"/>
  </si>
  <si>
    <t>고재석</t>
    <phoneticPr fontId="10" type="noConversion"/>
  </si>
  <si>
    <t>조상국 상무</t>
    <phoneticPr fontId="10" type="noConversion"/>
  </si>
  <si>
    <r>
      <rPr>
        <sz val="12"/>
        <color theme="1"/>
        <rFont val="맑은 고딕"/>
        <family val="3"/>
        <charset val="129"/>
      </rPr>
      <t xml:space="preserve">- 수행기간 : '25/09/26 ~ '26/12/28 
- 사업관리 지원 : 박승준책임
  안전관리 지원 : 고광종 이사
</t>
    </r>
    <r>
      <rPr>
        <sz val="12"/>
        <rFont val="맑은 고딕"/>
        <family val="3"/>
        <charset val="129"/>
      </rPr>
      <t>- 인천국제공항 - 라우터/Core/dist 백본스위치,집선스위치,무선 AP 구축사업
- 제1회 기성부분 완료보고서 작성</t>
    </r>
    <r>
      <rPr>
        <sz val="12"/>
        <color rgb="FF0070C0"/>
        <rFont val="맑은 고딕"/>
        <family val="3"/>
        <charset val="129"/>
      </rPr>
      <t xml:space="preserve">
- 엑세스 스위치 설치 진행 ( 121대 / 323대(37%) )
- 탑승동A 여객용 엑세스 스위치 1차(장비측) 패치 작업
- 보안관제설비 VoIP 보안장비(국간중계용 및 FMC용) 교체 이슈
  ○ 교환망 기존장비(미사용장비) 철거 및 교환망 코어스위치 미사용(포트,VLAN) 초기화 작업
  ○ 인터넷 방화벽과 교환망 코어스위치 구간 직결 작업결과보고서 감독관 검토 요청 및 문서 제출
- 안전관리
  ○ 위험성평가 실시 규정 작성 및 투입인원 대상 위험성 평가 교육
  ○ 재해예방기술지도 지원 (정기, 매월 2회)
  ○ 안전점검회의록(TBM) 작성 및 진행 (정기, 매 작업일)
  ○ 산업안전보건관리 계획서 작성 및 사용 내역서 작성 (매월)
  ○ 안전보호구(안전모, 안전화, 안전장갑) 지급 관리
  ○ 안전보건수준평가를 문서 작성 및 대응 </t>
    </r>
    <phoneticPr fontId="10" type="noConversion"/>
  </si>
  <si>
    <t>조양규</t>
    <phoneticPr fontId="10" type="noConversion"/>
  </si>
  <si>
    <t>책임
책임</t>
    <phoneticPr fontId="10" type="noConversion"/>
  </si>
  <si>
    <t>이운정
박윤승</t>
    <phoneticPr fontId="10" type="noConversion"/>
  </si>
  <si>
    <t>[우리투자증권]
보안 인프라 분리 구축 사업</t>
    <phoneticPr fontId="10" type="noConversion"/>
  </si>
  <si>
    <t>P202500041</t>
    <phoneticPr fontId="10" type="noConversion"/>
  </si>
  <si>
    <t>23.5억</t>
    <phoneticPr fontId="10" type="noConversion"/>
  </si>
  <si>
    <t>DIS본부</t>
  </si>
  <si>
    <t>하상문</t>
    <phoneticPr fontId="10" type="noConversion"/>
  </si>
  <si>
    <t>2025-11-14 15:00
(현장 제출)</t>
    <phoneticPr fontId="10" type="noConversion"/>
  </si>
  <si>
    <t>2025-11-21
14:30 ~</t>
    <phoneticPr fontId="10" type="noConversion"/>
  </si>
  <si>
    <t>조양규 이사</t>
    <phoneticPr fontId="10" type="noConversion"/>
  </si>
  <si>
    <t xml:space="preserve">- 수행기간 : '25/12/31 ~ '26/08/31
- 수행인원(3) : 조양규PM, 박윤승 책임, 이운정책임
 - 주요 안건 협의
    ▷ 인사DB, 사용자 통합 로그인 방안 협의 및 확정
    ▷ 통합결재시스템 모바일 앱 구현 및 연동 방안 협의
    ▷ 제조사별 소프트웨어 설치 및 연계 일정 가이드
- 구축
  ○ 전원, 통신케이블 포설 및 검수 완료
  ○ 하드웨어 납품 완료 (총 47식) 및 납품확인서 승인 및 제출
  ○ 구축/연계/개발
    ▷ 보안 인프라(H/W) 설치 및 통신 케이블 연동
    ▷ 인터넷망 관문 영역 구성
    ▷ 망연계 영역 등 네트워크 최종 개통
    ▷ Proxy 서버 구성 협의 및 확정
      &gt; 인터넷망 DRM서버 2호기 활용하여 DMZ 영역에 구성
    ▷ 기존 업무망 NAC 정책서버 층간 이전 지원
    ▷ 소프트웨어(WEB/WAS/DB,패키지) 설치 및 환경 설정 (~4/10, 진행)
    ▷ 솔루션별 이중화(파일공유, DB HA) 환경 구성 (~4/24, 진행)
    ▷ 관련 방화벽 정책 협의 및 반영
    ▷ 인사DB 연계 사전 테스트 
    ▷ 인사정보 및 사용자 통합로그인 연동 진행 (~4/30)
    ▷ 통합결재시스템 UI화면 및 망연계 파일전송 기능 개발 (~4/30, 계속)
</t>
    <phoneticPr fontId="2" type="noConversion"/>
  </si>
  <si>
    <t>수석</t>
  </si>
  <si>
    <t>이문희</t>
    <phoneticPr fontId="2" type="noConversion"/>
  </si>
  <si>
    <t>박선영
조승현</t>
    <phoneticPr fontId="2" type="noConversion"/>
  </si>
  <si>
    <r>
      <t xml:space="preserve">[제주국제자유도시개발센터] 
정보시스템 위탁운영 및 통합 유지보수 사업
</t>
    </r>
    <r>
      <rPr>
        <sz val="11"/>
        <color rgb="FF0070C0"/>
        <rFont val="맑은 고딕"/>
        <family val="3"/>
        <charset val="129"/>
      </rPr>
      <t>이문희 : 01/15~ 03/13
박선영,조승현 : 01/20~ 03/10</t>
    </r>
    <phoneticPr fontId="2" type="noConversion"/>
  </si>
  <si>
    <t>P2026001</t>
    <phoneticPr fontId="2" type="noConversion"/>
  </si>
  <si>
    <t>80.2억</t>
    <phoneticPr fontId="2" type="noConversion"/>
  </si>
  <si>
    <t>주사업</t>
    <phoneticPr fontId="2" type="noConversion"/>
  </si>
  <si>
    <t>LOSS</t>
  </si>
  <si>
    <t>전략사업1본부</t>
  </si>
  <si>
    <t>이사</t>
    <phoneticPr fontId="2" type="noConversion"/>
  </si>
  <si>
    <t>이명찬</t>
    <phoneticPr fontId="2" type="noConversion"/>
  </si>
  <si>
    <t>R26BK01297058
(26BD00164121)</t>
    <phoneticPr fontId="2" type="noConversion"/>
  </si>
  <si>
    <t>이문희 수석</t>
    <phoneticPr fontId="2" type="noConversion"/>
  </si>
  <si>
    <r>
      <rPr>
        <sz val="12"/>
        <color theme="1"/>
        <rFont val="맑은 고딕"/>
        <family val="3"/>
        <charset val="129"/>
      </rPr>
      <t>- 자체평가(기술90, 가격10)</t>
    </r>
    <r>
      <rPr>
        <sz val="12"/>
        <color rgb="FF0070C0"/>
        <rFont val="맑은 고딕"/>
        <family val="3"/>
        <charset val="129"/>
      </rPr>
      <t xml:space="preserve">
- 결과 : 시스원(기존사업자)수주,당사 2위, 시스게이트 3위</t>
    </r>
    <phoneticPr fontId="2" type="noConversion"/>
  </si>
  <si>
    <t>이광만</t>
    <phoneticPr fontId="2" type="noConversion"/>
  </si>
  <si>
    <t>수석
책임</t>
    <phoneticPr fontId="2" type="noConversion"/>
  </si>
  <si>
    <t>김찬호
정명용</t>
    <phoneticPr fontId="2" type="noConversion"/>
  </si>
  <si>
    <r>
      <t xml:space="preserve">[미래에셋자산운용] IDC이전사업
</t>
    </r>
    <r>
      <rPr>
        <sz val="10"/>
        <color rgb="FF0070C0"/>
        <rFont val="맑은 고딕"/>
        <family val="3"/>
        <charset val="129"/>
      </rPr>
      <t>이광만 : 01/30 ~ 02/10
정명용 : 01/30 ~ 02/09
김찬호 : 02/02 ~ 02/09</t>
    </r>
    <phoneticPr fontId="2" type="noConversion"/>
  </si>
  <si>
    <t>P2026002</t>
    <phoneticPr fontId="2" type="noConversion"/>
  </si>
  <si>
    <t>4억</t>
    <phoneticPr fontId="2" type="noConversion"/>
  </si>
  <si>
    <t>WIN</t>
  </si>
  <si>
    <t>수석</t>
    <phoneticPr fontId="2" type="noConversion"/>
  </si>
  <si>
    <t>구민철</t>
    <phoneticPr fontId="2" type="noConversion"/>
  </si>
  <si>
    <t>2026-02-10
14:00</t>
    <phoneticPr fontId="2" type="noConversion"/>
  </si>
  <si>
    <t>박찬현 상무
(외부인력)</t>
    <phoneticPr fontId="2" type="noConversion"/>
  </si>
  <si>
    <t>- 자체평가(기술70, 가격30)</t>
    <phoneticPr fontId="2" type="noConversion"/>
  </si>
  <si>
    <t>책임</t>
    <phoneticPr fontId="2" type="noConversion"/>
  </si>
  <si>
    <t>정명용</t>
    <phoneticPr fontId="2" type="noConversion"/>
  </si>
  <si>
    <r>
      <t xml:space="preserve">[한전산업개발]
빌링시스템 고도화 사업
</t>
    </r>
    <r>
      <rPr>
        <sz val="10"/>
        <color rgb="FF0070C0"/>
        <rFont val="맑은 고딕"/>
        <family val="3"/>
        <charset val="129"/>
      </rPr>
      <t>정명용 : 03/23 ~ 03/24</t>
    </r>
    <phoneticPr fontId="10" type="noConversion"/>
  </si>
  <si>
    <t>P2026003</t>
    <phoneticPr fontId="2" type="noConversion"/>
  </si>
  <si>
    <t>3.1억</t>
    <phoneticPr fontId="2" type="noConversion"/>
  </si>
  <si>
    <t>업무지원</t>
  </si>
  <si>
    <t>ICT사업부문</t>
  </si>
  <si>
    <t>- 수행기간 : '26/01/01 ~ '26/03/31
- 사업관리 지원(03/23~03/24)</t>
    <phoneticPr fontId="2" type="noConversion"/>
  </si>
  <si>
    <t>고광종</t>
    <phoneticPr fontId="2" type="noConversion"/>
  </si>
  <si>
    <r>
      <t xml:space="preserve">[감사원]
2026~2027년 감사원 정보인프라 유지관리 사업
</t>
    </r>
    <r>
      <rPr>
        <sz val="10"/>
        <color rgb="FF0070C0"/>
        <rFont val="맑은 고딕"/>
        <family val="3"/>
        <charset val="129"/>
      </rPr>
      <t>고광종, 정명용 : 02/19 ~ 3/12</t>
    </r>
    <phoneticPr fontId="10" type="noConversion"/>
  </si>
  <si>
    <t>P2026004</t>
    <phoneticPr fontId="2" type="noConversion"/>
  </si>
  <si>
    <t>23억</t>
    <phoneticPr fontId="2" type="noConversion"/>
  </si>
  <si>
    <t>DROP</t>
  </si>
  <si>
    <t>R26BK01352918
(R26BD00182827)</t>
    <phoneticPr fontId="2" type="noConversion"/>
  </si>
  <si>
    <t>별도 통보</t>
    <phoneticPr fontId="2" type="noConversion"/>
  </si>
  <si>
    <t>이길주
이사</t>
    <phoneticPr fontId="2" type="noConversion"/>
  </si>
  <si>
    <r>
      <t xml:space="preserve">- 자체평가(기술90), 조달청평가(가격10)
- 제안인원 : 고광종이사(제안PM),이길주이사(PM), 고현종수석, 정명용책임
</t>
    </r>
    <r>
      <rPr>
        <sz val="12"/>
        <color rgb="FFFF0000"/>
        <rFont val="맑은 고딕"/>
        <family val="3"/>
        <charset val="129"/>
      </rPr>
      <t>- 차등점수제 적용</t>
    </r>
    <r>
      <rPr>
        <sz val="12"/>
        <color rgb="FF0070C0"/>
        <rFont val="맑은 고딕"/>
        <family val="3"/>
        <charset val="129"/>
      </rPr>
      <t xml:space="preserve">
- 수익성 문제로 최종 drop 결정 (2026.3.12)</t>
    </r>
    <phoneticPr fontId="2" type="noConversion"/>
  </si>
  <si>
    <t>`</t>
    <phoneticPr fontId="2" type="noConversion"/>
  </si>
  <si>
    <t>김찬호</t>
    <phoneticPr fontId="2" type="noConversion"/>
  </si>
  <si>
    <r>
      <t xml:space="preserve">[한국해양진흥공사]
26년~29년 정보시스템 통합 유지보수 용역
</t>
    </r>
    <r>
      <rPr>
        <sz val="10"/>
        <color rgb="FF0070C0"/>
        <rFont val="맑은 고딕"/>
        <family val="3"/>
        <charset val="129"/>
      </rPr>
      <t>이광만 : 02/19 ~ 03/26 
김찬호 : 02/19 ~ 03/17</t>
    </r>
    <phoneticPr fontId="2" type="noConversion"/>
  </si>
  <si>
    <t>P2026005</t>
    <phoneticPr fontId="2" type="noConversion"/>
  </si>
  <si>
    <t>119억</t>
    <phoneticPr fontId="2" type="noConversion"/>
  </si>
  <si>
    <t>상무</t>
    <phoneticPr fontId="2" type="noConversion"/>
  </si>
  <si>
    <t>이충렬</t>
    <phoneticPr fontId="2" type="noConversion"/>
  </si>
  <si>
    <t>R26BK01347842
(R26BD00172022)</t>
    <phoneticPr fontId="2" type="noConversion"/>
  </si>
  <si>
    <t>2026-03-18
10:00</t>
    <phoneticPr fontId="2" type="noConversion"/>
  </si>
  <si>
    <t>2026-03-26
16:00</t>
    <phoneticPr fontId="2" type="noConversion"/>
  </si>
  <si>
    <t>이병윤 이사
(외부인력)</t>
    <phoneticPr fontId="2" type="noConversion"/>
  </si>
  <si>
    <r>
      <rPr>
        <sz val="12"/>
        <rFont val="맑은 고딕"/>
        <family val="3"/>
        <charset val="129"/>
      </rPr>
      <t>- 현재 KL-net 유지보수 중</t>
    </r>
    <r>
      <rPr>
        <sz val="12"/>
        <color rgb="FF0070C0"/>
        <rFont val="맑은 고딕"/>
        <family val="3"/>
        <charset val="129"/>
      </rPr>
      <t xml:space="preserve">
- 결과: KL-net(現유지보수) 수주, 당사 2위, 글로벌텔레콤 3위, 트루본 4위, 케이원 5위</t>
    </r>
    <phoneticPr fontId="2" type="noConversion"/>
  </si>
  <si>
    <t>조재훈</t>
    <phoneticPr fontId="2" type="noConversion"/>
  </si>
  <si>
    <r>
      <t xml:space="preserve">[신한은행]
Endpoint 위협식별 및 탐지역량 강화를 위한
EDR시스템 구축
</t>
    </r>
    <r>
      <rPr>
        <sz val="10"/>
        <color rgb="FF0070C0"/>
        <rFont val="맑은 고딕"/>
        <family val="3"/>
        <charset val="129"/>
      </rPr>
      <t>심우정 : 02/27 ~ 03/13
조재훈 : 02/27 ~ 03/13</t>
    </r>
    <phoneticPr fontId="2" type="noConversion"/>
  </si>
  <si>
    <t>P2026006</t>
  </si>
  <si>
    <t>9.1억/5년</t>
    <phoneticPr fontId="2" type="noConversion"/>
  </si>
  <si>
    <t>제안진행</t>
  </si>
  <si>
    <t>하상문</t>
    <phoneticPr fontId="2" type="noConversion"/>
  </si>
  <si>
    <t>전병구 이사
(IQ팀)</t>
    <phoneticPr fontId="31" type="noConversion"/>
  </si>
  <si>
    <t>- 자체평가 (당사 CybeReason)
- BMT기간 : 03/16~04/10 (BMT통과)</t>
    <phoneticPr fontId="2" type="noConversion"/>
  </si>
  <si>
    <r>
      <t xml:space="preserve">[삼성카드] IT자산 위험 관리시스템 구축
</t>
    </r>
    <r>
      <rPr>
        <sz val="10"/>
        <color rgb="FF0070C0"/>
        <rFont val="맑은 고딕"/>
        <family val="3"/>
        <charset val="129"/>
      </rPr>
      <t>이광만 : 03/23 ~ 03/25</t>
    </r>
    <phoneticPr fontId="2" type="noConversion"/>
  </si>
  <si>
    <t>P2026007</t>
    <phoneticPr fontId="2" type="noConversion"/>
  </si>
  <si>
    <t>4.95억/년</t>
    <phoneticPr fontId="2" type="noConversion"/>
  </si>
  <si>
    <t>김용중</t>
    <phoneticPr fontId="2" type="noConversion"/>
  </si>
  <si>
    <t>2026-03-25
16:30</t>
    <phoneticPr fontId="2" type="noConversion"/>
  </si>
  <si>
    <t>이광만 이사</t>
    <phoneticPr fontId="2" type="noConversion"/>
  </si>
  <si>
    <t>- 퀄리스 구축(2개월) + 웹포탈 개발(6개월)
- 사업기간 : 04/01 ~ 11/30(8개월)
- PM 비상주 지원
- 04/10 기술협상 예정</t>
    <phoneticPr fontId="2" type="noConversion"/>
  </si>
  <si>
    <r>
      <t xml:space="preserve">[저축은행중앙회] 사이버 위협 대응 내외부
통합 보안 인프라 구축 사업
</t>
    </r>
    <r>
      <rPr>
        <sz val="10"/>
        <color rgb="FF0070C0"/>
        <rFont val="맑은 고딕"/>
        <family val="3"/>
        <charset val="129"/>
      </rPr>
      <t xml:space="preserve">심우정 : 03/23 ~ 04/06
조재훈 : 03/23 ~ 04/06
박선영, 정명용 : 03/24 ~ 04/06 </t>
    </r>
    <phoneticPr fontId="2" type="noConversion"/>
  </si>
  <si>
    <t>P2026008</t>
  </si>
  <si>
    <t>5억</t>
    <phoneticPr fontId="2" type="noConversion"/>
  </si>
  <si>
    <t>박태민</t>
    <phoneticPr fontId="2" type="noConversion"/>
  </si>
  <si>
    <t>2026-04-08</t>
    <phoneticPr fontId="2" type="noConversion"/>
  </si>
  <si>
    <t>심우정</t>
    <phoneticPr fontId="2" type="noConversion"/>
  </si>
  <si>
    <r>
      <t xml:space="preserve">[삼성증권] IT자산 위험관리 시스템 구축
</t>
    </r>
    <r>
      <rPr>
        <sz val="10"/>
        <color rgb="FF0070C0"/>
        <rFont val="맑은 고딕"/>
        <family val="3"/>
        <charset val="129"/>
      </rPr>
      <t>심우정 : 03/31 ~ 4/09
이광만 : 04/04~04/06</t>
    </r>
    <phoneticPr fontId="2" type="noConversion"/>
  </si>
  <si>
    <t>P2026009</t>
    <phoneticPr fontId="2" type="noConversion"/>
  </si>
  <si>
    <t>9억</t>
    <phoneticPr fontId="2" type="noConversion"/>
  </si>
  <si>
    <t>이희철</t>
    <phoneticPr fontId="2" type="noConversion"/>
  </si>
  <si>
    <t>2026-04-09</t>
    <phoneticPr fontId="2" type="noConversion"/>
  </si>
  <si>
    <t>심우정 이사</t>
    <phoneticPr fontId="2" type="noConversion"/>
  </si>
  <si>
    <t>- 퀄리스 구축 + 웹포탈 개발
- 사업기간 : 6월 ~ 12월(7개월)
- PM 상주(삼성증권 PMO조직 대응)</t>
    <phoneticPr fontId="2" type="noConversion"/>
  </si>
  <si>
    <t>김찬호
박선영</t>
    <phoneticPr fontId="2" type="noConversion"/>
  </si>
  <si>
    <r>
      <t xml:space="preserve">[서울특별시 노원구]
2026년 정보통신장비 교체 및 보강 계약(긴급)
</t>
    </r>
    <r>
      <rPr>
        <sz val="10"/>
        <color rgb="FF0070C0"/>
        <rFont val="맑은 고딕"/>
        <family val="3"/>
        <charset val="129"/>
      </rPr>
      <t xml:space="preserve">이광만 : 04/06 ~ 04/13
김찬호, 박선영 : 04/06 ~ 04/13 </t>
    </r>
    <phoneticPr fontId="2" type="noConversion"/>
  </si>
  <si>
    <t>P2026010</t>
  </si>
  <si>
    <t>5.1억</t>
    <phoneticPr fontId="2" type="noConversion"/>
  </si>
  <si>
    <t>IT사업부문</t>
    <phoneticPr fontId="2" type="noConversion"/>
  </si>
  <si>
    <t>정해영</t>
    <phoneticPr fontId="2" type="noConversion"/>
  </si>
  <si>
    <t>R26BK01442704
(R26BD00202299)</t>
    <phoneticPr fontId="2" type="noConversion"/>
  </si>
  <si>
    <t>홍성용 이사
(IT사업부문)</t>
    <phoneticPr fontId="2" type="noConversion"/>
  </si>
  <si>
    <t>- 자체평가(기술9:가격1) 
- POE스위치 65대(24P-23대, 48P 42대), 백본 파워 4개, 백본 라인카드 2개, 인터넷전화기 30대
- 04/13 제안자료 전달</t>
    <phoneticPr fontId="2" type="noConversion"/>
  </si>
  <si>
    <t>책임
책임</t>
    <phoneticPr fontId="2" type="noConversion"/>
  </si>
  <si>
    <t>정명용
조승현</t>
    <phoneticPr fontId="2" type="noConversion"/>
  </si>
  <si>
    <r>
      <t xml:space="preserve">[하나은행]
차세대 디도스(DDoS) 방어 장비 도입
</t>
    </r>
    <r>
      <rPr>
        <sz val="11"/>
        <color rgb="FF0070C0"/>
        <rFont val="맑은 고딕"/>
        <family val="3"/>
        <charset val="129"/>
      </rPr>
      <t>조재훈 : 04/06 ~ 
정명용, 조승현 : 04/06 ~ 04/13</t>
    </r>
    <phoneticPr fontId="2" type="noConversion"/>
  </si>
  <si>
    <t>P2026011</t>
  </si>
  <si>
    <t>6억</t>
    <phoneticPr fontId="2" type="noConversion"/>
  </si>
  <si>
    <t>조재훈 이사</t>
    <phoneticPr fontId="2" type="noConversion"/>
  </si>
  <si>
    <t>- 코닉오토메이션&gt; CMT &gt; 하나은행
- 재공고사유: 상상인이 참여예정이였으나 제1,2금융권 DDoS납품 실적없음
- 제안품목 : Radware 메인센터 3대 , DR은 추후 진행(3대)
- 기술 및 제안 부분은 코닉오토에서 작성하며,
  BMT 3주간 진행후 PT 4월 말경 예상</t>
    <phoneticPr fontId="2" type="noConversion"/>
  </si>
  <si>
    <t>PMO본부 인원 현황</t>
    <phoneticPr fontId="10" type="noConversion"/>
  </si>
  <si>
    <t>총원
(제안/수행)</t>
    <phoneticPr fontId="10" type="noConversion"/>
  </si>
  <si>
    <t>투입인원</t>
    <phoneticPr fontId="10" type="noConversion"/>
  </si>
  <si>
    <t>교육/기타</t>
    <phoneticPr fontId="10" type="noConversion"/>
  </si>
  <si>
    <t>사업지원
가용인원</t>
    <phoneticPr fontId="10" type="noConversion"/>
  </si>
  <si>
    <t xml:space="preserve"> ○ 수행인원 : 12명(서울교통공사 4명, 한전산업개발 1명, 
                       대법원 2명, 인천공항공사 2명, 우리투자증권 3명
 ○ 제안인원 : 0명</t>
    <phoneticPr fontId="10" type="noConversion"/>
  </si>
  <si>
    <t>프로젝트명</t>
    <phoneticPr fontId="2" type="noConversion"/>
  </si>
  <si>
    <t>프로젝트 코드</t>
    <phoneticPr fontId="2" type="noConversion"/>
  </si>
  <si>
    <t>상태</t>
    <phoneticPr fontId="2" type="noConversion"/>
  </si>
  <si>
    <t>확도</t>
    <phoneticPr fontId="2" type="noConversion"/>
  </si>
  <si>
    <t>영업부서</t>
    <phoneticPr fontId="2" type="noConversion"/>
  </si>
  <si>
    <t>영업대표</t>
    <phoneticPr fontId="2" type="noConversion"/>
  </si>
  <si>
    <t>지원담당 총괄</t>
    <phoneticPr fontId="2" type="noConversion"/>
  </si>
  <si>
    <t>from</t>
    <phoneticPr fontId="2" type="noConversion"/>
  </si>
  <si>
    <t>to</t>
    <phoneticPr fontId="2" type="noConversion"/>
  </si>
  <si>
    <t>제주국제자유도시개발센터  정보시스템 위탁운영 및 통합 유지보수 사업</t>
    <phoneticPr fontId="2" type="noConversion"/>
  </si>
  <si>
    <t>실주</t>
    <phoneticPr fontId="2" type="noConversion"/>
  </si>
  <si>
    <t>경쟁</t>
    <phoneticPr fontId="2" type="noConversion"/>
  </si>
  <si>
    <t>전략사업1본부</t>
    <phoneticPr fontId="2" type="noConversion"/>
  </si>
  <si>
    <t>이명찬 이사</t>
    <phoneticPr fontId="2" type="noConversion"/>
  </si>
  <si>
    <t>미래에셋자산운용 IDC이전사업</t>
    <phoneticPr fontId="2" type="noConversion"/>
  </si>
  <si>
    <t>P2026002</t>
  </si>
  <si>
    <t>수주</t>
    <phoneticPr fontId="2" type="noConversion"/>
  </si>
  <si>
    <t>구민청 수석</t>
    <phoneticPr fontId="2" type="noConversion"/>
  </si>
  <si>
    <t>한전산업개발 빌링시스템 고도화 사업</t>
    <phoneticPr fontId="2" type="noConversion"/>
  </si>
  <si>
    <t>지원중</t>
    <phoneticPr fontId="2" type="noConversion"/>
  </si>
  <si>
    <t>ICT사업부문</t>
    <phoneticPr fontId="2" type="noConversion"/>
  </si>
  <si>
    <t>정영덕 이사</t>
    <phoneticPr fontId="2" type="noConversion"/>
  </si>
  <si>
    <t>정명용 책임</t>
    <phoneticPr fontId="2" type="noConversion"/>
  </si>
  <si>
    <t>감사원 2026년~2027년 감사원 정보인프라 유지관리 사업(2년)</t>
    <phoneticPr fontId="2" type="noConversion"/>
  </si>
  <si>
    <t>Drop</t>
    <phoneticPr fontId="2" type="noConversion"/>
  </si>
  <si>
    <t>김형기 이사</t>
    <phoneticPr fontId="2" type="noConversion"/>
  </si>
  <si>
    <t>한국해양진흥공사 ’26~’29년 정보시스템 통합 유지보수 용역(3년)</t>
    <phoneticPr fontId="2" type="noConversion"/>
  </si>
  <si>
    <t>이충렬 상무</t>
    <phoneticPr fontId="2" type="noConversion"/>
  </si>
  <si>
    <t>신한은행 Endpoint 위협식별 및 탐지역량 강화를 위한 EDR시스템 구축</t>
    <phoneticPr fontId="2" type="noConversion"/>
  </si>
  <si>
    <t>BMT중</t>
    <phoneticPr fontId="2" type="noConversion"/>
  </si>
  <si>
    <t>DIS본부</t>
    <phoneticPr fontId="2" type="noConversion"/>
  </si>
  <si>
    <t>하상문 이사</t>
    <phoneticPr fontId="2" type="noConversion"/>
  </si>
  <si>
    <t>삼성카드 IT자산 위험 관리시스템 구축</t>
    <phoneticPr fontId="2" type="noConversion"/>
  </si>
  <si>
    <t>단독</t>
    <phoneticPr fontId="2" type="noConversion"/>
  </si>
  <si>
    <t>김용중 수석</t>
    <phoneticPr fontId="2" type="noConversion"/>
  </si>
  <si>
    <t>저축은행중앙회 사이버 위협 대응 내외부 통합 보안 인프라 구축 사업</t>
    <phoneticPr fontId="2" type="noConversion"/>
  </si>
  <si>
    <t>제안중</t>
    <phoneticPr fontId="2" type="noConversion"/>
  </si>
  <si>
    <t>박태민 수석</t>
    <phoneticPr fontId="2" type="noConversion"/>
  </si>
  <si>
    <t>삼성증권 IT자산 위험관리 시스템 구축</t>
    <phoneticPr fontId="2" type="noConversion"/>
  </si>
  <si>
    <t>P2026009</t>
  </si>
  <si>
    <t>이희철 책임</t>
    <phoneticPr fontId="2" type="noConversion"/>
  </si>
  <si>
    <t>노원구 2026년 정보통신장비 교체 및 보강 계약(긴급)</t>
    <phoneticPr fontId="2" type="noConversion"/>
  </si>
  <si>
    <t>정해영 책임</t>
    <phoneticPr fontId="2" type="noConversion"/>
  </si>
  <si>
    <t>하나은행 차세대 디도스(DDoS) 방어 장비 도입</t>
    <phoneticPr fontId="2" type="noConversion"/>
  </si>
  <si>
    <t>P2026012</t>
  </si>
  <si>
    <t>- 자체평가
- 당사 퀄리스 VMDR, 사이버리즌 EDR, MLsoft-원격접속 시스템 SDP
- 경쟁사 : 당사 RFP작업으로 경쟁우위 단독
- 제안 발표 : 4월 22일 (전병구 팀장)</t>
    <phoneticPr fontId="2" type="noConversion"/>
  </si>
  <si>
    <t>P2026006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</si>
</sst>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2"/>
      <name val="맑은 고딕"/>
      <family val="3"/>
      <charset val="129"/>
    </font>
    <font>
      <sz val="12"/>
      <color rgb="FF0070C0"/>
      <name val="맑은 고딕"/>
      <family val="3"/>
      <charset val="129"/>
    </font>
    <font>
      <sz val="12"/>
      <name val="맑은 고딕"/>
      <family val="2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70C0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12"/>
      <name val="맑은 고딕"/>
      <family val="3"/>
    </font>
    <font>
      <sz val="12"/>
      <color theme="1"/>
      <name val="맑은 고딕"/>
      <family val="3"/>
    </font>
    <font>
      <sz val="12"/>
      <color rgb="FFFF0000"/>
      <name val="맑은 고딕"/>
      <family val="3"/>
      <charset val="129"/>
    </font>
    <font>
      <sz val="8"/>
      <name val="맑은 고딕"/>
      <family val="2"/>
      <charset val="129"/>
    </font>
    <font>
      <b/>
      <sz val="12"/>
      <color rgb="FF000000"/>
      <name val="맑은 고딕"/>
      <family val="3"/>
    </font>
    <font>
      <sz val="12"/>
      <color rgb="FF000000"/>
      <name val="맑은 고딕"/>
      <family val="3"/>
    </font>
    <font>
      <sz val="12"/>
      <color theme="1"/>
      <name val="맑은 고딕"/>
      <family val="3"/>
      <scheme val="minor"/>
    </font>
    <font>
      <b/>
      <sz val="12"/>
      <name val="맑은 고딕"/>
      <family val="3"/>
    </font>
    <font>
      <sz val="12"/>
      <color rgb="FF0070C0"/>
      <name val="맑은 고딕"/>
      <family val="3"/>
    </font>
  </fonts>
  <fills count="9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0" fontId="3" fillId="0" borderId="0" xfId="0" applyFo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14" fontId="8" fillId="4" borderId="2" xfId="0" applyNumberFormat="1" applyFont="1" applyFill="1" applyBorder="1" applyAlignment="1">
      <alignment horizontal="center" vertical="center" wrapText="1"/>
    </xf>
    <xf numFmtId="0" fontId="9" fillId="4" borderId="1" xfId="3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4" borderId="2" xfId="0" quotePrefix="1" applyFont="1" applyFill="1" applyBorder="1" applyAlignment="1">
      <alignment vertical="center" wrapText="1"/>
    </xf>
    <xf numFmtId="14" fontId="11" fillId="4" borderId="1" xfId="0" applyNumberFormat="1" applyFont="1" applyFill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14" fontId="17" fillId="4" borderId="2" xfId="0" applyNumberFormat="1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14" fontId="13" fillId="4" borderId="2" xfId="0" applyNumberFormat="1" applyFont="1" applyFill="1" applyBorder="1" applyAlignment="1">
      <alignment horizontal="center" vertical="center" wrapText="1"/>
    </xf>
    <xf numFmtId="14" fontId="13" fillId="4" borderId="1" xfId="0" applyNumberFormat="1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4" fillId="4" borderId="2" xfId="0" quotePrefix="1" applyFont="1" applyFill="1" applyBorder="1" applyAlignment="1">
      <alignment vertical="center" wrapText="1"/>
    </xf>
    <xf numFmtId="14" fontId="13" fillId="4" borderId="1" xfId="0" quotePrefix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9" fillId="3" borderId="0" xfId="1" applyFont="1" applyFill="1">
      <alignment vertical="center"/>
    </xf>
    <xf numFmtId="0" fontId="15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center" vertical="center" wrapText="1"/>
    </xf>
    <xf numFmtId="14" fontId="13" fillId="0" borderId="1" xfId="0" quotePrefix="1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4" fillId="0" borderId="2" xfId="0" quotePrefix="1" applyFont="1" applyBorder="1" applyAlignment="1">
      <alignment vertical="center" wrapText="1"/>
    </xf>
    <xf numFmtId="14" fontId="20" fillId="0" borderId="4" xfId="1" applyNumberFormat="1" applyFont="1" applyBorder="1" applyAlignment="1">
      <alignment horizontal="center" vertical="center"/>
    </xf>
    <xf numFmtId="14" fontId="20" fillId="5" borderId="1" xfId="1" applyNumberFormat="1" applyFont="1" applyFill="1" applyBorder="1" applyAlignment="1">
      <alignment horizontal="center" vertical="center" wrapText="1"/>
    </xf>
    <xf numFmtId="14" fontId="20" fillId="5" borderId="1" xfId="1" applyNumberFormat="1" applyFont="1" applyFill="1" applyBorder="1" applyAlignment="1">
      <alignment horizontal="center" vertical="center"/>
    </xf>
    <xf numFmtId="176" fontId="20" fillId="6" borderId="1" xfId="1" applyNumberFormat="1" applyFont="1" applyFill="1" applyBorder="1" applyAlignment="1">
      <alignment horizontal="center" vertical="center" wrapText="1"/>
    </xf>
    <xf numFmtId="176" fontId="7" fillId="6" borderId="1" xfId="1" applyNumberFormat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176" fontId="20" fillId="6" borderId="1" xfId="1" applyNumberFormat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left" vertical="center" wrapText="1"/>
    </xf>
    <xf numFmtId="0" fontId="21" fillId="0" borderId="0" xfId="1" applyFont="1">
      <alignment vertical="center"/>
    </xf>
    <xf numFmtId="0" fontId="1" fillId="7" borderId="1" xfId="4" applyFill="1" applyBorder="1" applyAlignment="1">
      <alignment horizontal="center" vertical="center"/>
    </xf>
    <xf numFmtId="0" fontId="6" fillId="0" borderId="1" xfId="4" applyFont="1" applyBorder="1" applyAlignment="1">
      <alignment vertical="center" wrapText="1"/>
    </xf>
    <xf numFmtId="0" fontId="1" fillId="0" borderId="1" xfId="4" applyBorder="1" applyAlignment="1">
      <alignment horizontal="center" vertical="center"/>
    </xf>
    <xf numFmtId="0" fontId="22" fillId="0" borderId="1" xfId="4" applyFont="1" applyBorder="1" applyAlignment="1">
      <alignment horizontal="center" vertical="center"/>
    </xf>
    <xf numFmtId="0" fontId="1" fillId="0" borderId="1" xfId="4" applyBorder="1">
      <alignment vertical="center"/>
    </xf>
    <xf numFmtId="0" fontId="23" fillId="0" borderId="1" xfId="4" applyFont="1" applyBorder="1" applyAlignment="1">
      <alignment vertical="center" wrapText="1"/>
    </xf>
    <xf numFmtId="0" fontId="24" fillId="0" borderId="2" xfId="4" applyFont="1" applyBorder="1" applyAlignment="1">
      <alignment horizontal="center" vertical="center"/>
    </xf>
    <xf numFmtId="0" fontId="25" fillId="0" borderId="2" xfId="4" applyFont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left" vertical="center"/>
    </xf>
    <xf numFmtId="0" fontId="5" fillId="4" borderId="0" xfId="1" applyFont="1" applyFill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5" fillId="8" borderId="1" xfId="2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14" fontId="17" fillId="8" borderId="2" xfId="0" applyNumberFormat="1" applyFont="1" applyFill="1" applyBorder="1" applyAlignment="1">
      <alignment horizontal="center" vertical="center" wrapText="1"/>
    </xf>
    <xf numFmtId="0" fontId="9" fillId="8" borderId="1" xfId="3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14" fontId="13" fillId="8" borderId="2" xfId="0" applyNumberFormat="1" applyFont="1" applyFill="1" applyBorder="1" applyAlignment="1">
      <alignment horizontal="center" vertical="center" wrapText="1"/>
    </xf>
    <xf numFmtId="14" fontId="13" fillId="8" borderId="1" xfId="0" quotePrefix="1" applyNumberFormat="1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4" fillId="8" borderId="2" xfId="0" quotePrefix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4" applyFont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/>
    </xf>
    <xf numFmtId="0" fontId="6" fillId="0" borderId="1" xfId="4" applyFont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9" fillId="3" borderId="1" xfId="3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3" fillId="3" borderId="2" xfId="0" applyNumberFormat="1" applyFont="1" applyFill="1" applyBorder="1" applyAlignment="1">
      <alignment horizontal="center" vertical="center" wrapText="1"/>
    </xf>
    <xf numFmtId="14" fontId="13" fillId="3" borderId="1" xfId="0" quotePrefix="1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4" fillId="3" borderId="2" xfId="0" quotePrefix="1" applyFont="1" applyFill="1" applyBorder="1" applyAlignment="1">
      <alignment vertical="center" wrapText="1"/>
    </xf>
    <xf numFmtId="0" fontId="5" fillId="3" borderId="1" xfId="2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 wrapText="1"/>
    </xf>
    <xf numFmtId="14" fontId="13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28" fillId="8" borderId="2" xfId="0" applyFont="1" applyFill="1" applyBorder="1" applyAlignment="1">
      <alignment horizontal="left" vertical="center" wrapText="1"/>
    </xf>
    <xf numFmtId="0" fontId="28" fillId="8" borderId="1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/>
    </xf>
    <xf numFmtId="14" fontId="33" fillId="8" borderId="2" xfId="0" applyNumberFormat="1" applyFont="1" applyFill="1" applyBorder="1" applyAlignment="1">
      <alignment horizontal="center" vertical="center" wrapText="1"/>
    </xf>
    <xf numFmtId="0" fontId="34" fillId="8" borderId="1" xfId="3" applyFont="1" applyFill="1" applyBorder="1" applyAlignment="1">
      <alignment horizontal="center" vertical="center" wrapText="1"/>
    </xf>
    <xf numFmtId="0" fontId="29" fillId="8" borderId="2" xfId="0" applyFont="1" applyFill="1" applyBorder="1" applyAlignment="1">
      <alignment horizontal="center" vertical="center"/>
    </xf>
    <xf numFmtId="0" fontId="33" fillId="8" borderId="2" xfId="0" applyFont="1" applyFill="1" applyBorder="1" applyAlignment="1">
      <alignment horizontal="center" vertical="center" wrapText="1"/>
    </xf>
    <xf numFmtId="14" fontId="28" fillId="8" borderId="1" xfId="0" quotePrefix="1" applyNumberFormat="1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/>
    </xf>
    <xf numFmtId="0" fontId="36" fillId="8" borderId="2" xfId="0" quotePrefix="1" applyFont="1" applyFill="1" applyBorder="1" applyAlignment="1">
      <alignment vertical="center" wrapText="1"/>
    </xf>
    <xf numFmtId="14" fontId="28" fillId="8" borderId="1" xfId="0" applyNumberFormat="1" applyFont="1" applyFill="1" applyBorder="1" applyAlignment="1">
      <alignment horizontal="center" vertical="center" wrapText="1"/>
    </xf>
    <xf numFmtId="0" fontId="9" fillId="8" borderId="1" xfId="5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36" fillId="0" borderId="2" xfId="0" quotePrefix="1" applyFont="1" applyBorder="1" applyAlignment="1">
      <alignment vertical="center" wrapText="1"/>
    </xf>
    <xf numFmtId="0" fontId="17" fillId="4" borderId="2" xfId="0" quotePrefix="1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vertical="center" wrapText="1"/>
    </xf>
    <xf numFmtId="14" fontId="9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4" fontId="20" fillId="0" borderId="3" xfId="1" applyNumberFormat="1" applyFont="1" applyBorder="1" applyAlignment="1">
      <alignment horizontal="center" vertical="center"/>
    </xf>
    <xf numFmtId="14" fontId="20" fillId="0" borderId="4" xfId="1" applyNumberFormat="1" applyFont="1" applyBorder="1" applyAlignment="1">
      <alignment horizontal="center" vertical="center"/>
    </xf>
    <xf numFmtId="176" fontId="20" fillId="6" borderId="3" xfId="1" applyNumberFormat="1" applyFont="1" applyFill="1" applyBorder="1" applyAlignment="1">
      <alignment horizontal="center" vertical="center"/>
    </xf>
    <xf numFmtId="176" fontId="20" fillId="6" borderId="2" xfId="1" applyNumberFormat="1" applyFont="1" applyFill="1" applyBorder="1" applyAlignment="1">
      <alignment horizontal="center" vertical="center"/>
    </xf>
    <xf numFmtId="0" fontId="4" fillId="6" borderId="3" xfId="1" applyFont="1" applyFill="1" applyBorder="1" applyAlignment="1">
      <alignment horizontal="left" vertical="center" wrapText="1"/>
    </xf>
    <xf numFmtId="0" fontId="4" fillId="6" borderId="4" xfId="1" applyFont="1" applyFill="1" applyBorder="1" applyAlignment="1">
      <alignment horizontal="left" vertical="center" wrapText="1"/>
    </xf>
    <xf numFmtId="0" fontId="4" fillId="6" borderId="2" xfId="1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</cellXfs>
  <cellStyles count="6">
    <cellStyle name="표준" xfId="0" builtinId="0"/>
    <cellStyle name="표준 11" xfId="4" xr:uid="{FA94E7E7-6F0E-4FEA-9709-DB1FA5F7A707}"/>
    <cellStyle name="표준 3" xfId="3" xr:uid="{E0D19693-78C4-4A02-88CA-29C397BDE968}"/>
    <cellStyle name="표준 4 2 2 2 2 2" xfId="5" xr:uid="{1B3B7B59-E227-4267-8F80-72D6BF479BC9}"/>
    <cellStyle name="표준 4 4 20 2" xfId="2" xr:uid="{B6301699-2D22-4123-A6ED-A77B35258211}"/>
    <cellStyle name="표준 7 2" xfId="1" xr:uid="{3D7A36CD-5AD7-4FA3-AD15-AB57CF1739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AE8C-7A98-4560-9241-E64BC27ED52F}">
  <dimension ref="A1:X30"/>
  <sheetViews>
    <sheetView tabSelected="1" zoomScale="80" zoomScaleNormal="80" workbookViewId="0">
      <pane xSplit="1" ySplit="5" topLeftCell="B15" activePane="bottomRight" state="frozen"/>
      <selection pane="topRight" activeCell="B1" sqref="B1"/>
      <selection pane="bottomLeft" activeCell="A6" sqref="A6"/>
      <selection pane="bottomRight" activeCell="G17" sqref="G17"/>
    </sheetView>
  </sheetViews>
  <sheetFormatPr defaultRowHeight="17.399999999999999" x14ac:dyDescent="0.4"/>
  <cols>
    <col min="1" max="1" width="8.09765625" customWidth="1"/>
    <col min="2" max="2" width="15.09765625" customWidth="1"/>
    <col min="7" max="7" width="62.09765625" customWidth="1"/>
    <col min="8" max="8" width="24" customWidth="1"/>
    <col min="9" max="9" width="14.59765625" bestFit="1" customWidth="1"/>
    <col min="10" max="10" width="10" bestFit="1" customWidth="1"/>
    <col min="11" max="11" width="13.8984375" bestFit="1" customWidth="1"/>
    <col min="12" max="12" width="12.8984375" bestFit="1" customWidth="1"/>
    <col min="13" max="13" width="12.69921875" bestFit="1" customWidth="1"/>
    <col min="14" max="14" width="19" customWidth="1"/>
    <col min="16" max="16" width="11.3984375" bestFit="1" customWidth="1"/>
    <col min="17" max="17" width="15.19921875" bestFit="1" customWidth="1"/>
    <col min="18" max="18" width="27" bestFit="1" customWidth="1"/>
    <col min="19" max="19" width="20" customWidth="1"/>
    <col min="20" max="20" width="20.69921875" customWidth="1"/>
    <col min="21" max="21" width="14.5" customWidth="1"/>
    <col min="22" max="22" width="12.8984375" bestFit="1" customWidth="1"/>
    <col min="23" max="23" width="16.09765625" bestFit="1" customWidth="1"/>
    <col min="24" max="24" width="111.59765625" customWidth="1"/>
  </cols>
  <sheetData>
    <row r="1" spans="1:24" ht="41.25" customHeight="1" x14ac:dyDescent="0.4">
      <c r="A1" s="1" t="s">
        <v>0</v>
      </c>
      <c r="O1" s="100"/>
    </row>
    <row r="2" spans="1:24" ht="18.75" customHeight="1" x14ac:dyDescent="0.4">
      <c r="A2" s="1"/>
    </row>
    <row r="3" spans="1:24" ht="19.2" x14ac:dyDescent="0.4">
      <c r="A3" s="127">
        <v>46084</v>
      </c>
      <c r="B3" s="127"/>
      <c r="C3" s="60"/>
      <c r="D3" s="61" t="s">
        <v>1</v>
      </c>
      <c r="E3" s="62"/>
      <c r="F3" s="63" t="s">
        <v>2</v>
      </c>
    </row>
    <row r="4" spans="1:24" ht="23.25" customHeight="1" x14ac:dyDescent="0.4">
      <c r="A4" s="128" t="s">
        <v>3</v>
      </c>
      <c r="B4" s="128" t="s">
        <v>4</v>
      </c>
      <c r="C4" s="128" t="s">
        <v>5</v>
      </c>
      <c r="D4" s="128"/>
      <c r="E4" s="128" t="s">
        <v>6</v>
      </c>
      <c r="F4" s="128"/>
      <c r="G4" s="128" t="s">
        <v>7</v>
      </c>
      <c r="H4" s="128"/>
      <c r="I4" s="128"/>
      <c r="J4" s="128"/>
      <c r="K4" s="128"/>
      <c r="L4" s="128"/>
      <c r="M4" s="128"/>
      <c r="N4" s="128" t="s">
        <v>8</v>
      </c>
      <c r="O4" s="128"/>
      <c r="P4" s="128"/>
      <c r="Q4" s="128" t="s">
        <v>9</v>
      </c>
      <c r="R4" s="136" t="s">
        <v>10</v>
      </c>
      <c r="S4" s="128" t="s">
        <v>11</v>
      </c>
      <c r="T4" s="136" t="s">
        <v>12</v>
      </c>
      <c r="U4" s="136" t="s">
        <v>13</v>
      </c>
      <c r="V4" s="136" t="s">
        <v>14</v>
      </c>
      <c r="W4" s="136" t="s">
        <v>15</v>
      </c>
      <c r="X4" s="128" t="s">
        <v>16</v>
      </c>
    </row>
    <row r="5" spans="1:24" ht="42.75" customHeight="1" x14ac:dyDescent="0.4">
      <c r="A5" s="128"/>
      <c r="B5" s="128"/>
      <c r="C5" s="27" t="s">
        <v>17</v>
      </c>
      <c r="D5" s="27" t="s">
        <v>18</v>
      </c>
      <c r="E5" s="27" t="s">
        <v>17</v>
      </c>
      <c r="F5" s="27" t="s">
        <v>18</v>
      </c>
      <c r="G5" s="27" t="s">
        <v>19</v>
      </c>
      <c r="H5" s="28" t="s">
        <v>20</v>
      </c>
      <c r="I5" s="28" t="s">
        <v>21</v>
      </c>
      <c r="J5" s="27" t="s">
        <v>22</v>
      </c>
      <c r="K5" s="27" t="s">
        <v>23</v>
      </c>
      <c r="L5" s="27" t="s">
        <v>24</v>
      </c>
      <c r="M5" s="27" t="s">
        <v>25</v>
      </c>
      <c r="N5" s="27" t="s">
        <v>26</v>
      </c>
      <c r="O5" s="27" t="s">
        <v>27</v>
      </c>
      <c r="P5" s="27" t="s">
        <v>28</v>
      </c>
      <c r="Q5" s="128"/>
      <c r="R5" s="128"/>
      <c r="S5" s="128"/>
      <c r="T5" s="128"/>
      <c r="U5" s="128"/>
      <c r="V5" s="128"/>
      <c r="W5" s="128"/>
      <c r="X5" s="128"/>
    </row>
    <row r="6" spans="1:24" ht="342.75" customHeight="1" x14ac:dyDescent="0.4">
      <c r="A6" s="29">
        <f>ROW()-5</f>
        <v>1</v>
      </c>
      <c r="B6" s="2" t="s">
        <v>29</v>
      </c>
      <c r="C6" s="3" t="s">
        <v>30</v>
      </c>
      <c r="D6" s="4" t="s">
        <v>31</v>
      </c>
      <c r="E6" s="4" t="s">
        <v>32</v>
      </c>
      <c r="F6" s="4" t="s">
        <v>33</v>
      </c>
      <c r="G6" s="5" t="s">
        <v>34</v>
      </c>
      <c r="H6" s="4" t="s">
        <v>35</v>
      </c>
      <c r="I6" s="4" t="s">
        <v>36</v>
      </c>
      <c r="J6" s="2" t="s">
        <v>37</v>
      </c>
      <c r="K6" s="6" t="s">
        <v>38</v>
      </c>
      <c r="L6" s="7">
        <v>45498</v>
      </c>
      <c r="M6" s="7"/>
      <c r="N6" s="8" t="s">
        <v>39</v>
      </c>
      <c r="O6" s="9" t="s">
        <v>40</v>
      </c>
      <c r="P6" s="9" t="s">
        <v>41</v>
      </c>
      <c r="Q6" s="7">
        <v>45454</v>
      </c>
      <c r="R6" s="4">
        <v>20240540846</v>
      </c>
      <c r="S6" s="7">
        <v>45442</v>
      </c>
      <c r="T6" s="7" t="s">
        <v>42</v>
      </c>
      <c r="U6" s="7" t="s">
        <v>43</v>
      </c>
      <c r="V6" s="4" t="s">
        <v>44</v>
      </c>
      <c r="W6" s="6" t="s">
        <v>38</v>
      </c>
      <c r="X6" s="119" t="s">
        <v>45</v>
      </c>
    </row>
    <row r="7" spans="1:24" ht="99" customHeight="1" x14ac:dyDescent="0.4">
      <c r="A7" s="29">
        <f t="shared" ref="A7:A25" si="0">ROW()-5</f>
        <v>2</v>
      </c>
      <c r="B7" s="2" t="s">
        <v>29</v>
      </c>
      <c r="C7" s="3" t="s">
        <v>30</v>
      </c>
      <c r="D7" s="4" t="s">
        <v>46</v>
      </c>
      <c r="E7" s="4"/>
      <c r="F7" s="4"/>
      <c r="G7" s="5" t="s">
        <v>47</v>
      </c>
      <c r="H7" s="4" t="s">
        <v>48</v>
      </c>
      <c r="I7" s="4" t="s">
        <v>49</v>
      </c>
      <c r="J7" s="2" t="s">
        <v>50</v>
      </c>
      <c r="K7" s="6" t="s">
        <v>38</v>
      </c>
      <c r="L7" s="7">
        <v>45587</v>
      </c>
      <c r="M7" s="7"/>
      <c r="N7" s="8" t="s">
        <v>51</v>
      </c>
      <c r="O7" s="9" t="s">
        <v>52</v>
      </c>
      <c r="P7" s="9" t="s">
        <v>53</v>
      </c>
      <c r="Q7" s="7"/>
      <c r="R7" s="4"/>
      <c r="S7" s="7" t="s">
        <v>54</v>
      </c>
      <c r="T7" s="7" t="s">
        <v>55</v>
      </c>
      <c r="U7" s="7"/>
      <c r="V7" s="4"/>
      <c r="W7" s="6" t="s">
        <v>38</v>
      </c>
      <c r="X7" s="10" t="s">
        <v>56</v>
      </c>
    </row>
    <row r="8" spans="1:24" ht="69" customHeight="1" x14ac:dyDescent="0.4">
      <c r="A8" s="29">
        <f t="shared" si="0"/>
        <v>3</v>
      </c>
      <c r="B8" s="2" t="s">
        <v>29</v>
      </c>
      <c r="C8" s="3" t="s">
        <v>30</v>
      </c>
      <c r="D8" s="4" t="s">
        <v>57</v>
      </c>
      <c r="E8" s="4"/>
      <c r="F8" s="4"/>
      <c r="G8" s="5" t="s">
        <v>58</v>
      </c>
      <c r="H8" s="4" t="s">
        <v>59</v>
      </c>
      <c r="I8" s="4" t="s">
        <v>60</v>
      </c>
      <c r="J8" s="2" t="s">
        <v>50</v>
      </c>
      <c r="K8" s="6" t="s">
        <v>38</v>
      </c>
      <c r="L8" s="7">
        <v>45691</v>
      </c>
      <c r="M8" s="7">
        <v>45708</v>
      </c>
      <c r="N8" s="8" t="s">
        <v>39</v>
      </c>
      <c r="O8" s="9" t="s">
        <v>61</v>
      </c>
      <c r="P8" s="9" t="s">
        <v>62</v>
      </c>
      <c r="Q8" s="7">
        <v>45689</v>
      </c>
      <c r="R8" s="4" t="s">
        <v>63</v>
      </c>
      <c r="S8" s="7">
        <v>45692</v>
      </c>
      <c r="T8" s="11" t="s">
        <v>64</v>
      </c>
      <c r="U8" s="11" t="s">
        <v>65</v>
      </c>
      <c r="V8" s="4" t="s">
        <v>66</v>
      </c>
      <c r="W8" s="6" t="s">
        <v>38</v>
      </c>
      <c r="X8" s="10" t="s">
        <v>67</v>
      </c>
    </row>
    <row r="9" spans="1:24" ht="100.5" customHeight="1" x14ac:dyDescent="0.4">
      <c r="A9" s="29">
        <f t="shared" si="0"/>
        <v>4</v>
      </c>
      <c r="B9" s="114" t="s">
        <v>29</v>
      </c>
      <c r="C9" s="97" t="s">
        <v>30</v>
      </c>
      <c r="D9" s="85" t="s">
        <v>68</v>
      </c>
      <c r="E9" s="85" t="s">
        <v>69</v>
      </c>
      <c r="F9" s="85" t="s">
        <v>70</v>
      </c>
      <c r="G9" s="98" t="s">
        <v>71</v>
      </c>
      <c r="H9" s="85" t="s">
        <v>72</v>
      </c>
      <c r="I9" s="85" t="s">
        <v>73</v>
      </c>
      <c r="J9" s="87" t="s">
        <v>50</v>
      </c>
      <c r="K9" s="88" t="s">
        <v>74</v>
      </c>
      <c r="L9" s="89">
        <v>45863</v>
      </c>
      <c r="M9" s="89">
        <v>45881</v>
      </c>
      <c r="N9" s="115" t="s">
        <v>39</v>
      </c>
      <c r="O9" s="116" t="s">
        <v>52</v>
      </c>
      <c r="P9" s="116" t="s">
        <v>75</v>
      </c>
      <c r="Q9" s="89">
        <v>45860</v>
      </c>
      <c r="R9" s="92" t="s">
        <v>76</v>
      </c>
      <c r="S9" s="93">
        <v>45856</v>
      </c>
      <c r="T9" s="99">
        <v>45877</v>
      </c>
      <c r="U9" s="99" t="s">
        <v>77</v>
      </c>
      <c r="V9" s="85" t="s">
        <v>78</v>
      </c>
      <c r="W9" s="95" t="s">
        <v>74</v>
      </c>
      <c r="X9" s="96" t="s">
        <v>79</v>
      </c>
    </row>
    <row r="10" spans="1:24" ht="359.25" customHeight="1" x14ac:dyDescent="0.4">
      <c r="A10" s="29">
        <f t="shared" si="0"/>
        <v>5</v>
      </c>
      <c r="B10" s="82" t="s">
        <v>29</v>
      </c>
      <c r="C10" s="14" t="s">
        <v>80</v>
      </c>
      <c r="D10" s="15" t="s">
        <v>81</v>
      </c>
      <c r="E10" s="23" t="s">
        <v>30</v>
      </c>
      <c r="F10" s="15" t="s">
        <v>57</v>
      </c>
      <c r="G10" s="16" t="s">
        <v>82</v>
      </c>
      <c r="H10" s="15" t="s">
        <v>83</v>
      </c>
      <c r="I10" s="15" t="s">
        <v>84</v>
      </c>
      <c r="J10" s="17" t="s">
        <v>50</v>
      </c>
      <c r="K10" s="18" t="s">
        <v>85</v>
      </c>
      <c r="L10" s="19">
        <v>45926</v>
      </c>
      <c r="M10" s="19"/>
      <c r="N10" s="8" t="s">
        <v>86</v>
      </c>
      <c r="O10" s="9" t="s">
        <v>87</v>
      </c>
      <c r="P10" s="9" t="s">
        <v>88</v>
      </c>
      <c r="Q10" s="19">
        <v>45917</v>
      </c>
      <c r="R10" s="20"/>
      <c r="S10" s="21"/>
      <c r="T10" s="22"/>
      <c r="U10" s="22"/>
      <c r="V10" s="15" t="s">
        <v>89</v>
      </c>
      <c r="W10" s="24" t="s">
        <v>85</v>
      </c>
      <c r="X10" s="25" t="s">
        <v>90</v>
      </c>
    </row>
    <row r="11" spans="1:24" ht="408.75" customHeight="1" x14ac:dyDescent="0.4">
      <c r="A11" s="29">
        <f t="shared" si="0"/>
        <v>6</v>
      </c>
      <c r="B11" s="82" t="s">
        <v>29</v>
      </c>
      <c r="C11" s="14" t="s">
        <v>30</v>
      </c>
      <c r="D11" s="15" t="s">
        <v>91</v>
      </c>
      <c r="E11" s="15" t="s">
        <v>92</v>
      </c>
      <c r="F11" s="15" t="s">
        <v>93</v>
      </c>
      <c r="G11" s="16" t="s">
        <v>94</v>
      </c>
      <c r="H11" s="15" t="s">
        <v>95</v>
      </c>
      <c r="I11" s="15" t="s">
        <v>96</v>
      </c>
      <c r="J11" s="17" t="s">
        <v>50</v>
      </c>
      <c r="K11" s="18" t="s">
        <v>85</v>
      </c>
      <c r="L11" s="19">
        <v>45965</v>
      </c>
      <c r="M11" s="19"/>
      <c r="N11" s="8" t="s">
        <v>97</v>
      </c>
      <c r="O11" s="9" t="s">
        <v>52</v>
      </c>
      <c r="P11" s="9" t="s">
        <v>98</v>
      </c>
      <c r="Q11" s="19">
        <v>45898</v>
      </c>
      <c r="R11" s="20"/>
      <c r="S11" s="21">
        <v>45965</v>
      </c>
      <c r="T11" s="26" t="s">
        <v>99</v>
      </c>
      <c r="U11" s="26" t="s">
        <v>100</v>
      </c>
      <c r="V11" s="15" t="s">
        <v>101</v>
      </c>
      <c r="W11" s="24" t="s">
        <v>38</v>
      </c>
      <c r="X11" s="25" t="s">
        <v>102</v>
      </c>
    </row>
    <row r="12" spans="1:24" s="30" customFormat="1" ht="82.5" customHeight="1" x14ac:dyDescent="0.4">
      <c r="A12" s="29">
        <f t="shared" si="0"/>
        <v>7</v>
      </c>
      <c r="B12" s="84" t="s">
        <v>29</v>
      </c>
      <c r="C12" s="97" t="s">
        <v>103</v>
      </c>
      <c r="D12" s="85" t="s">
        <v>104</v>
      </c>
      <c r="E12" s="85" t="s">
        <v>92</v>
      </c>
      <c r="F12" s="85" t="s">
        <v>105</v>
      </c>
      <c r="G12" s="98" t="s">
        <v>106</v>
      </c>
      <c r="H12" s="85" t="s">
        <v>107</v>
      </c>
      <c r="I12" s="85" t="s">
        <v>108</v>
      </c>
      <c r="J12" s="87" t="s">
        <v>109</v>
      </c>
      <c r="K12" s="88" t="s">
        <v>110</v>
      </c>
      <c r="L12" s="89">
        <v>46037</v>
      </c>
      <c r="M12" s="89"/>
      <c r="N12" s="90" t="s">
        <v>111</v>
      </c>
      <c r="O12" s="91" t="s">
        <v>112</v>
      </c>
      <c r="P12" s="91" t="s">
        <v>113</v>
      </c>
      <c r="Q12" s="89">
        <v>46017</v>
      </c>
      <c r="R12" s="92" t="s">
        <v>114</v>
      </c>
      <c r="S12" s="93">
        <v>46049</v>
      </c>
      <c r="T12" s="99">
        <v>46091</v>
      </c>
      <c r="U12" s="99">
        <v>46094</v>
      </c>
      <c r="V12" s="85" t="s">
        <v>115</v>
      </c>
      <c r="W12" s="95" t="s">
        <v>110</v>
      </c>
      <c r="X12" s="118" t="s">
        <v>116</v>
      </c>
    </row>
    <row r="13" spans="1:24" s="30" customFormat="1" ht="82.5" customHeight="1" x14ac:dyDescent="0.4">
      <c r="A13" s="29">
        <f t="shared" si="0"/>
        <v>8</v>
      </c>
      <c r="B13" s="31" t="s">
        <v>29</v>
      </c>
      <c r="C13" s="32" t="s">
        <v>30</v>
      </c>
      <c r="D13" s="33" t="s">
        <v>117</v>
      </c>
      <c r="E13" s="33" t="s">
        <v>118</v>
      </c>
      <c r="F13" s="33" t="s">
        <v>119</v>
      </c>
      <c r="G13" s="34" t="s">
        <v>120</v>
      </c>
      <c r="H13" s="33" t="s">
        <v>121</v>
      </c>
      <c r="I13" s="33" t="s">
        <v>122</v>
      </c>
      <c r="J13" s="35" t="s">
        <v>109</v>
      </c>
      <c r="K13" s="36" t="s">
        <v>123</v>
      </c>
      <c r="L13" s="37">
        <v>46052</v>
      </c>
      <c r="M13" s="37"/>
      <c r="N13" s="12" t="s">
        <v>111</v>
      </c>
      <c r="O13" s="13" t="s">
        <v>124</v>
      </c>
      <c r="P13" s="13" t="s">
        <v>125</v>
      </c>
      <c r="Q13" s="37">
        <v>46035</v>
      </c>
      <c r="R13" s="38"/>
      <c r="S13" s="39">
        <v>46051</v>
      </c>
      <c r="T13" s="40">
        <v>46062</v>
      </c>
      <c r="U13" s="40" t="s">
        <v>126</v>
      </c>
      <c r="V13" s="33" t="s">
        <v>127</v>
      </c>
      <c r="W13" s="41" t="s">
        <v>123</v>
      </c>
      <c r="X13" s="42" t="s">
        <v>128</v>
      </c>
    </row>
    <row r="14" spans="1:24" s="30" customFormat="1" ht="82.5" customHeight="1" x14ac:dyDescent="0.4">
      <c r="A14" s="29">
        <f t="shared" si="0"/>
        <v>9</v>
      </c>
      <c r="B14" s="84" t="s">
        <v>29</v>
      </c>
      <c r="C14" s="85" t="s">
        <v>129</v>
      </c>
      <c r="D14" s="85" t="s">
        <v>130</v>
      </c>
      <c r="E14" s="85"/>
      <c r="F14" s="85"/>
      <c r="G14" s="86" t="s">
        <v>131</v>
      </c>
      <c r="H14" s="85" t="s">
        <v>132</v>
      </c>
      <c r="I14" s="85" t="s">
        <v>133</v>
      </c>
      <c r="J14" s="87" t="s">
        <v>109</v>
      </c>
      <c r="K14" s="88" t="s">
        <v>134</v>
      </c>
      <c r="L14" s="89">
        <v>46064</v>
      </c>
      <c r="M14" s="89"/>
      <c r="N14" s="90" t="s">
        <v>135</v>
      </c>
      <c r="O14" s="91" t="s">
        <v>52</v>
      </c>
      <c r="P14" s="91" t="s">
        <v>53</v>
      </c>
      <c r="Q14" s="89">
        <v>46055</v>
      </c>
      <c r="R14" s="92"/>
      <c r="S14" s="93"/>
      <c r="T14" s="94"/>
      <c r="U14" s="94"/>
      <c r="V14" s="85"/>
      <c r="W14" s="95" t="s">
        <v>74</v>
      </c>
      <c r="X14" s="96" t="s">
        <v>136</v>
      </c>
    </row>
    <row r="15" spans="1:24" s="30" customFormat="1" ht="82.5" customHeight="1" x14ac:dyDescent="0.4">
      <c r="A15" s="29">
        <f t="shared" si="0"/>
        <v>10</v>
      </c>
      <c r="B15" s="84" t="s">
        <v>29</v>
      </c>
      <c r="C15" s="85" t="s">
        <v>112</v>
      </c>
      <c r="D15" s="85" t="s">
        <v>137</v>
      </c>
      <c r="E15" s="85" t="s">
        <v>129</v>
      </c>
      <c r="F15" s="85" t="s">
        <v>130</v>
      </c>
      <c r="G15" s="86" t="s">
        <v>138</v>
      </c>
      <c r="H15" s="85" t="s">
        <v>139</v>
      </c>
      <c r="I15" s="85" t="s">
        <v>140</v>
      </c>
      <c r="J15" s="87" t="s">
        <v>109</v>
      </c>
      <c r="K15" s="88" t="s">
        <v>141</v>
      </c>
      <c r="L15" s="89">
        <v>46072</v>
      </c>
      <c r="M15" s="89">
        <v>46093</v>
      </c>
      <c r="N15" s="90" t="s">
        <v>111</v>
      </c>
      <c r="O15" s="91" t="s">
        <v>52</v>
      </c>
      <c r="P15" s="91" t="s">
        <v>75</v>
      </c>
      <c r="Q15" s="89">
        <v>46072</v>
      </c>
      <c r="R15" s="92" t="s">
        <v>142</v>
      </c>
      <c r="S15" s="93">
        <v>46077</v>
      </c>
      <c r="T15" s="94">
        <v>46094</v>
      </c>
      <c r="U15" s="94" t="s">
        <v>143</v>
      </c>
      <c r="V15" s="85" t="s">
        <v>144</v>
      </c>
      <c r="W15" s="95" t="s">
        <v>141</v>
      </c>
      <c r="X15" s="96" t="s">
        <v>145</v>
      </c>
    </row>
    <row r="16" spans="1:24" s="30" customFormat="1" ht="82.5" customHeight="1" x14ac:dyDescent="0.4">
      <c r="A16" s="29" t="s">
        <v>146</v>
      </c>
      <c r="B16" s="84" t="s">
        <v>29</v>
      </c>
      <c r="C16" s="97" t="s">
        <v>30</v>
      </c>
      <c r="D16" s="113" t="s">
        <v>117</v>
      </c>
      <c r="E16" s="113" t="s">
        <v>124</v>
      </c>
      <c r="F16" s="113" t="s">
        <v>147</v>
      </c>
      <c r="G16" s="98" t="s">
        <v>148</v>
      </c>
      <c r="H16" s="85" t="s">
        <v>149</v>
      </c>
      <c r="I16" s="85" t="s">
        <v>150</v>
      </c>
      <c r="J16" s="87" t="s">
        <v>109</v>
      </c>
      <c r="K16" s="88" t="s">
        <v>110</v>
      </c>
      <c r="L16" s="89">
        <v>46072</v>
      </c>
      <c r="M16" s="89">
        <v>46107</v>
      </c>
      <c r="N16" s="90" t="s">
        <v>111</v>
      </c>
      <c r="O16" s="91" t="s">
        <v>151</v>
      </c>
      <c r="P16" s="91" t="s">
        <v>152</v>
      </c>
      <c r="Q16" s="89">
        <v>46072</v>
      </c>
      <c r="R16" s="92" t="s">
        <v>153</v>
      </c>
      <c r="S16" s="93">
        <v>46078</v>
      </c>
      <c r="T16" s="94" t="s">
        <v>154</v>
      </c>
      <c r="U16" s="94" t="s">
        <v>155</v>
      </c>
      <c r="V16" s="85" t="s">
        <v>156</v>
      </c>
      <c r="W16" s="95" t="s">
        <v>110</v>
      </c>
      <c r="X16" s="96" t="s">
        <v>157</v>
      </c>
    </row>
    <row r="17" spans="1:24" s="30" customFormat="1" ht="96.6" customHeight="1" x14ac:dyDescent="0.4">
      <c r="A17" s="29">
        <f t="shared" si="0"/>
        <v>12</v>
      </c>
      <c r="B17" s="65" t="s">
        <v>29</v>
      </c>
      <c r="C17" s="66" t="s">
        <v>30</v>
      </c>
      <c r="D17" s="67" t="s">
        <v>68</v>
      </c>
      <c r="E17" s="67" t="s">
        <v>112</v>
      </c>
      <c r="F17" s="67" t="s">
        <v>158</v>
      </c>
      <c r="G17" s="68" t="s">
        <v>159</v>
      </c>
      <c r="H17" s="67" t="s">
        <v>160</v>
      </c>
      <c r="I17" s="67" t="s">
        <v>161</v>
      </c>
      <c r="J17" s="69" t="s">
        <v>109</v>
      </c>
      <c r="K17" s="70" t="s">
        <v>162</v>
      </c>
      <c r="L17" s="71">
        <v>46080</v>
      </c>
      <c r="M17" s="71"/>
      <c r="N17" s="72" t="s">
        <v>97</v>
      </c>
      <c r="O17" s="73" t="s">
        <v>112</v>
      </c>
      <c r="P17" s="73" t="s">
        <v>163</v>
      </c>
      <c r="Q17" s="71">
        <v>46080</v>
      </c>
      <c r="R17" s="74"/>
      <c r="S17" s="75">
        <v>46062</v>
      </c>
      <c r="T17" s="76">
        <v>46094</v>
      </c>
      <c r="U17" s="76">
        <v>46136</v>
      </c>
      <c r="V17" s="112" t="s">
        <v>164</v>
      </c>
      <c r="W17" s="77" t="s">
        <v>162</v>
      </c>
      <c r="X17" s="78" t="s">
        <v>165</v>
      </c>
    </row>
    <row r="18" spans="1:24" s="30" customFormat="1" ht="82.5" customHeight="1" x14ac:dyDescent="0.4">
      <c r="A18" s="29">
        <f t="shared" si="0"/>
        <v>13</v>
      </c>
      <c r="B18" s="31" t="s">
        <v>29</v>
      </c>
      <c r="C18" s="32" t="s">
        <v>30</v>
      </c>
      <c r="D18" s="117" t="s">
        <v>117</v>
      </c>
      <c r="E18" s="33"/>
      <c r="F18" s="33"/>
      <c r="G18" s="34" t="s">
        <v>166</v>
      </c>
      <c r="H18" s="33" t="s">
        <v>167</v>
      </c>
      <c r="I18" s="33" t="s">
        <v>168</v>
      </c>
      <c r="J18" s="35" t="s">
        <v>109</v>
      </c>
      <c r="K18" s="36" t="s">
        <v>38</v>
      </c>
      <c r="L18" s="37">
        <v>46104</v>
      </c>
      <c r="M18" s="37"/>
      <c r="N18" s="12" t="s">
        <v>111</v>
      </c>
      <c r="O18" s="13" t="s">
        <v>124</v>
      </c>
      <c r="P18" s="13" t="s">
        <v>169</v>
      </c>
      <c r="Q18" s="37">
        <v>46104</v>
      </c>
      <c r="R18" s="38"/>
      <c r="S18" s="39">
        <v>46094</v>
      </c>
      <c r="T18" s="40">
        <v>46104</v>
      </c>
      <c r="U18" s="40" t="s">
        <v>170</v>
      </c>
      <c r="V18" s="33" t="s">
        <v>171</v>
      </c>
      <c r="W18" s="41" t="s">
        <v>38</v>
      </c>
      <c r="X18" s="42" t="s">
        <v>172</v>
      </c>
    </row>
    <row r="19" spans="1:24" s="30" customFormat="1" ht="85.2" x14ac:dyDescent="0.4">
      <c r="A19" s="29">
        <f t="shared" si="0"/>
        <v>14</v>
      </c>
      <c r="B19" s="65" t="s">
        <v>29</v>
      </c>
      <c r="C19" s="66" t="s">
        <v>30</v>
      </c>
      <c r="D19" s="67" t="s">
        <v>68</v>
      </c>
      <c r="E19" s="67" t="s">
        <v>112</v>
      </c>
      <c r="F19" s="67" t="s">
        <v>31</v>
      </c>
      <c r="G19" s="68" t="s">
        <v>173</v>
      </c>
      <c r="H19" s="67" t="s">
        <v>174</v>
      </c>
      <c r="I19" s="67" t="s">
        <v>175</v>
      </c>
      <c r="J19" s="69" t="s">
        <v>109</v>
      </c>
      <c r="K19" s="70" t="s">
        <v>162</v>
      </c>
      <c r="L19" s="71">
        <v>46104</v>
      </c>
      <c r="M19" s="71">
        <v>46118</v>
      </c>
      <c r="N19" s="72" t="s">
        <v>111</v>
      </c>
      <c r="O19" s="73" t="s">
        <v>124</v>
      </c>
      <c r="P19" s="73" t="s">
        <v>176</v>
      </c>
      <c r="Q19" s="71">
        <v>46104</v>
      </c>
      <c r="R19" s="74"/>
      <c r="S19" s="76">
        <v>46106</v>
      </c>
      <c r="T19" s="76">
        <v>46118</v>
      </c>
      <c r="U19" s="76" t="s">
        <v>177</v>
      </c>
      <c r="V19" s="112" t="s">
        <v>164</v>
      </c>
      <c r="W19" s="77" t="s">
        <v>162</v>
      </c>
      <c r="X19" s="78" t="s">
        <v>253</v>
      </c>
    </row>
    <row r="20" spans="1:24" s="30" customFormat="1" ht="82.5" customHeight="1" x14ac:dyDescent="0.4">
      <c r="A20" s="29">
        <f t="shared" si="0"/>
        <v>15</v>
      </c>
      <c r="B20" s="69" t="s">
        <v>29</v>
      </c>
      <c r="C20" s="66" t="s">
        <v>30</v>
      </c>
      <c r="D20" s="81" t="s">
        <v>178</v>
      </c>
      <c r="E20" s="81" t="s">
        <v>112</v>
      </c>
      <c r="F20" s="81" t="s">
        <v>117</v>
      </c>
      <c r="G20" s="101" t="s">
        <v>179</v>
      </c>
      <c r="H20" s="81" t="s">
        <v>180</v>
      </c>
      <c r="I20" s="81" t="s">
        <v>181</v>
      </c>
      <c r="J20" s="102" t="s">
        <v>109</v>
      </c>
      <c r="K20" s="103" t="s">
        <v>162</v>
      </c>
      <c r="L20" s="104">
        <v>46112</v>
      </c>
      <c r="M20" s="104">
        <v>46121</v>
      </c>
      <c r="N20" s="105" t="s">
        <v>111</v>
      </c>
      <c r="O20" s="106" t="s">
        <v>129</v>
      </c>
      <c r="P20" s="106" t="s">
        <v>182</v>
      </c>
      <c r="Q20" s="104">
        <v>46111</v>
      </c>
      <c r="R20" s="107"/>
      <c r="S20" s="111">
        <v>46107</v>
      </c>
      <c r="T20" s="111">
        <v>46119</v>
      </c>
      <c r="U20" s="108" t="s">
        <v>183</v>
      </c>
      <c r="V20" s="81" t="s">
        <v>184</v>
      </c>
      <c r="W20" s="109" t="s">
        <v>162</v>
      </c>
      <c r="X20" s="110" t="s">
        <v>185</v>
      </c>
    </row>
    <row r="21" spans="1:24" s="30" customFormat="1" ht="82.5" customHeight="1" x14ac:dyDescent="0.4">
      <c r="A21" s="29">
        <f t="shared" si="0"/>
        <v>16</v>
      </c>
      <c r="B21" s="65" t="s">
        <v>29</v>
      </c>
      <c r="C21" s="66" t="s">
        <v>30</v>
      </c>
      <c r="D21" s="67" t="s">
        <v>117</v>
      </c>
      <c r="E21" s="67" t="s">
        <v>118</v>
      </c>
      <c r="F21" s="67" t="s">
        <v>186</v>
      </c>
      <c r="G21" s="101" t="s">
        <v>187</v>
      </c>
      <c r="H21" s="81" t="s">
        <v>188</v>
      </c>
      <c r="I21" s="67" t="s">
        <v>189</v>
      </c>
      <c r="J21" s="69" t="s">
        <v>109</v>
      </c>
      <c r="K21" s="70" t="s">
        <v>162</v>
      </c>
      <c r="L21" s="71">
        <v>46118</v>
      </c>
      <c r="M21" s="71">
        <v>46125</v>
      </c>
      <c r="N21" s="72" t="s">
        <v>190</v>
      </c>
      <c r="O21" s="73" t="s">
        <v>129</v>
      </c>
      <c r="P21" s="73" t="s">
        <v>191</v>
      </c>
      <c r="Q21" s="71">
        <v>46118</v>
      </c>
      <c r="R21" s="74" t="s">
        <v>192</v>
      </c>
      <c r="S21" s="104">
        <v>46118</v>
      </c>
      <c r="T21" s="104">
        <v>46129</v>
      </c>
      <c r="U21" s="76" t="s">
        <v>143</v>
      </c>
      <c r="V21" s="67" t="s">
        <v>193</v>
      </c>
      <c r="W21" s="77" t="s">
        <v>162</v>
      </c>
      <c r="X21" s="78" t="s">
        <v>194</v>
      </c>
    </row>
    <row r="22" spans="1:24" s="30" customFormat="1" ht="118.5" customHeight="1" x14ac:dyDescent="0.4">
      <c r="A22" s="29">
        <f t="shared" si="0"/>
        <v>17</v>
      </c>
      <c r="B22" s="65" t="s">
        <v>29</v>
      </c>
      <c r="C22" s="66" t="s">
        <v>30</v>
      </c>
      <c r="D22" s="67" t="s">
        <v>158</v>
      </c>
      <c r="E22" s="67" t="s">
        <v>195</v>
      </c>
      <c r="F22" s="67" t="s">
        <v>196</v>
      </c>
      <c r="G22" s="68" t="s">
        <v>197</v>
      </c>
      <c r="H22" s="81" t="s">
        <v>198</v>
      </c>
      <c r="I22" s="67" t="s">
        <v>199</v>
      </c>
      <c r="J22" s="102" t="s">
        <v>109</v>
      </c>
      <c r="K22" s="70" t="s">
        <v>162</v>
      </c>
      <c r="L22" s="71">
        <v>46118</v>
      </c>
      <c r="M22" s="71"/>
      <c r="N22" s="72" t="s">
        <v>97</v>
      </c>
      <c r="O22" s="106" t="s">
        <v>112</v>
      </c>
      <c r="P22" s="106" t="s">
        <v>163</v>
      </c>
      <c r="Q22" s="71">
        <v>46118</v>
      </c>
      <c r="R22" s="74"/>
      <c r="S22" s="104">
        <v>46118</v>
      </c>
      <c r="T22" s="104">
        <v>46125</v>
      </c>
      <c r="U22" s="108" t="s">
        <v>143</v>
      </c>
      <c r="V22" s="67" t="s">
        <v>200</v>
      </c>
      <c r="W22" s="77" t="s">
        <v>162</v>
      </c>
      <c r="X22" s="78" t="s">
        <v>201</v>
      </c>
    </row>
    <row r="23" spans="1:24" s="30" customFormat="1" ht="82.5" customHeight="1" x14ac:dyDescent="0.4">
      <c r="A23" s="29">
        <f t="shared" si="0"/>
        <v>18</v>
      </c>
      <c r="B23" s="31"/>
      <c r="C23" s="32"/>
      <c r="D23" s="33"/>
      <c r="E23" s="33"/>
      <c r="F23" s="33"/>
      <c r="G23" s="34"/>
      <c r="H23" s="33"/>
      <c r="I23" s="33"/>
      <c r="J23" s="35"/>
      <c r="K23" s="36"/>
      <c r="L23" s="37"/>
      <c r="M23" s="37"/>
      <c r="N23" s="12"/>
      <c r="O23" s="13"/>
      <c r="P23" s="13"/>
      <c r="Q23" s="37"/>
      <c r="R23" s="38"/>
      <c r="S23" s="39"/>
      <c r="T23" s="40"/>
      <c r="U23" s="40"/>
      <c r="V23" s="33"/>
      <c r="W23" s="41"/>
      <c r="X23" s="42"/>
    </row>
    <row r="24" spans="1:24" s="30" customFormat="1" ht="82.5" customHeight="1" x14ac:dyDescent="0.4">
      <c r="A24" s="29">
        <f t="shared" si="0"/>
        <v>19</v>
      </c>
      <c r="B24" s="31"/>
      <c r="C24" s="32"/>
      <c r="D24" s="33"/>
      <c r="E24" s="33"/>
      <c r="F24" s="33"/>
      <c r="G24" s="34"/>
      <c r="H24" s="33"/>
      <c r="I24" s="33"/>
      <c r="J24" s="35"/>
      <c r="K24" s="36"/>
      <c r="L24" s="37"/>
      <c r="M24" s="37"/>
      <c r="N24" s="12"/>
      <c r="O24" s="13"/>
      <c r="P24" s="13"/>
      <c r="Q24" s="37"/>
      <c r="R24" s="38"/>
      <c r="S24" s="39"/>
      <c r="T24" s="40"/>
      <c r="U24" s="40"/>
      <c r="V24" s="33"/>
      <c r="W24" s="41"/>
      <c r="X24" s="42"/>
    </row>
    <row r="25" spans="1:24" s="30" customFormat="1" ht="82.5" customHeight="1" x14ac:dyDescent="0.4">
      <c r="A25" s="29">
        <f t="shared" si="0"/>
        <v>20</v>
      </c>
      <c r="B25" s="31"/>
      <c r="C25" s="32"/>
      <c r="D25" s="33"/>
      <c r="E25" s="33"/>
      <c r="F25" s="33"/>
      <c r="G25" s="34"/>
      <c r="H25" s="33"/>
      <c r="I25" s="33"/>
      <c r="J25" s="35"/>
      <c r="K25" s="36"/>
      <c r="L25" s="37"/>
      <c r="M25" s="37"/>
      <c r="N25" s="12"/>
      <c r="O25" s="13"/>
      <c r="P25" s="13"/>
      <c r="Q25" s="37"/>
      <c r="R25" s="38"/>
      <c r="S25" s="39"/>
      <c r="T25" s="40"/>
      <c r="U25" s="40"/>
      <c r="V25" s="33"/>
      <c r="W25" s="41"/>
      <c r="X25" s="42"/>
    </row>
    <row r="26" spans="1:24" s="30" customFormat="1" ht="82.5" customHeight="1" x14ac:dyDescent="0.4">
      <c r="A26" s="29">
        <v>21</v>
      </c>
      <c r="B26" s="31"/>
      <c r="C26" s="32"/>
      <c r="D26" s="120"/>
      <c r="E26" s="120"/>
      <c r="F26" s="120"/>
      <c r="G26" s="121"/>
      <c r="H26" s="120"/>
      <c r="I26" s="120"/>
      <c r="J26" s="35"/>
      <c r="K26" s="36"/>
      <c r="L26" s="122"/>
      <c r="M26" s="122"/>
      <c r="N26" s="12"/>
      <c r="O26" s="123"/>
      <c r="P26" s="123"/>
      <c r="Q26" s="122"/>
      <c r="R26" s="124"/>
      <c r="S26" s="125"/>
      <c r="T26" s="40"/>
      <c r="U26" s="40"/>
      <c r="V26" s="120"/>
      <c r="W26" s="41"/>
      <c r="X26" s="126"/>
    </row>
    <row r="27" spans="1:24" s="30" customFormat="1" ht="82.5" customHeight="1" x14ac:dyDescent="0.4">
      <c r="A27" s="29">
        <v>22</v>
      </c>
      <c r="B27" s="31"/>
      <c r="C27" s="32"/>
      <c r="D27" s="120"/>
      <c r="E27" s="120"/>
      <c r="F27" s="120"/>
      <c r="G27" s="121"/>
      <c r="H27" s="120"/>
      <c r="I27" s="120"/>
      <c r="J27" s="35"/>
      <c r="K27" s="36"/>
      <c r="L27" s="122"/>
      <c r="M27" s="122"/>
      <c r="N27" s="12"/>
      <c r="O27" s="123"/>
      <c r="P27" s="123"/>
      <c r="Q27" s="122"/>
      <c r="R27" s="124"/>
      <c r="S27" s="125"/>
      <c r="T27" s="40"/>
      <c r="U27" s="40"/>
      <c r="V27" s="120"/>
      <c r="W27" s="41"/>
      <c r="X27" s="126"/>
    </row>
    <row r="28" spans="1:24" s="30" customFormat="1" ht="82.5" customHeight="1" x14ac:dyDescent="0.4">
      <c r="A28" s="29">
        <v>23</v>
      </c>
      <c r="B28" s="31"/>
      <c r="C28" s="32"/>
      <c r="D28" s="120"/>
      <c r="E28" s="120"/>
      <c r="F28" s="120"/>
      <c r="G28" s="121"/>
      <c r="H28" s="120"/>
      <c r="I28" s="120"/>
      <c r="J28" s="35"/>
      <c r="K28" s="36"/>
      <c r="L28" s="122"/>
      <c r="M28" s="122"/>
      <c r="N28" s="12"/>
      <c r="O28" s="123"/>
      <c r="P28" s="123"/>
      <c r="Q28" s="122"/>
      <c r="R28" s="124"/>
      <c r="S28" s="125"/>
      <c r="T28" s="40"/>
      <c r="U28" s="40"/>
      <c r="V28" s="120"/>
      <c r="W28" s="41"/>
      <c r="X28" s="126"/>
    </row>
    <row r="29" spans="1:24" s="30" customFormat="1" ht="82.5" customHeight="1" x14ac:dyDescent="0.4">
      <c r="A29" s="29">
        <v>24</v>
      </c>
      <c r="B29" s="31"/>
      <c r="C29" s="32"/>
      <c r="D29" s="120"/>
      <c r="E29" s="120"/>
      <c r="F29" s="120"/>
      <c r="G29" s="121"/>
      <c r="H29" s="120"/>
      <c r="I29" s="120"/>
      <c r="J29" s="35"/>
      <c r="K29" s="36"/>
      <c r="L29" s="122"/>
      <c r="M29" s="122"/>
      <c r="N29" s="12"/>
      <c r="O29" s="123"/>
      <c r="P29" s="123"/>
      <c r="Q29" s="122"/>
      <c r="R29" s="124"/>
      <c r="S29" s="125"/>
      <c r="T29" s="40"/>
      <c r="U29" s="40"/>
      <c r="V29" s="120"/>
      <c r="W29" s="41"/>
      <c r="X29" s="126"/>
    </row>
    <row r="30" spans="1:24" s="51" customFormat="1" ht="79.5" customHeight="1" x14ac:dyDescent="0.4">
      <c r="A30" s="129" t="s">
        <v>202</v>
      </c>
      <c r="B30" s="130"/>
      <c r="C30" s="130"/>
      <c r="D30" s="130"/>
      <c r="E30" s="130"/>
      <c r="F30" s="130"/>
      <c r="G30" s="130"/>
      <c r="H30" s="43"/>
      <c r="I30" s="44" t="s">
        <v>203</v>
      </c>
      <c r="J30" s="131">
        <v>17</v>
      </c>
      <c r="K30" s="132"/>
      <c r="L30" s="45" t="s">
        <v>204</v>
      </c>
      <c r="M30" s="46">
        <v>12</v>
      </c>
      <c r="N30" s="45" t="s">
        <v>205</v>
      </c>
      <c r="O30" s="47"/>
      <c r="P30" s="48" t="s">
        <v>206</v>
      </c>
      <c r="Q30" s="49">
        <v>4</v>
      </c>
      <c r="R30" s="133"/>
      <c r="S30" s="134"/>
      <c r="T30" s="134"/>
      <c r="U30" s="134"/>
      <c r="V30" s="134"/>
      <c r="W30" s="135"/>
      <c r="X30" s="50" t="s">
        <v>207</v>
      </c>
    </row>
  </sheetData>
  <mergeCells count="18">
    <mergeCell ref="X4:X5"/>
    <mergeCell ref="G4:M4"/>
    <mergeCell ref="N4:P4"/>
    <mergeCell ref="A30:G30"/>
    <mergeCell ref="J30:K30"/>
    <mergeCell ref="R30:W30"/>
    <mergeCell ref="R4:R5"/>
    <mergeCell ref="S4:S5"/>
    <mergeCell ref="T4:T5"/>
    <mergeCell ref="U4:U5"/>
    <mergeCell ref="V4:V5"/>
    <mergeCell ref="W4:W5"/>
    <mergeCell ref="Q4:Q5"/>
    <mergeCell ref="A3:B3"/>
    <mergeCell ref="A4:A5"/>
    <mergeCell ref="B4:B5"/>
    <mergeCell ref="C4:D4"/>
    <mergeCell ref="E4:F4"/>
  </mergeCells>
  <phoneticPr fontId="2" type="noConversion"/>
  <dataValidations count="7">
    <dataValidation type="list" allowBlank="1" showInputMessage="1" showErrorMessage="1" sqref="E10 C6:C13 C16:C29" xr:uid="{38D3208A-2F1B-4FF6-8CE9-ECF679CEDD38}">
      <formula1>"부사장,부문장,본부장,팀장,전무,상무,이사,수석,책임,선임,사원"</formula1>
    </dataValidation>
    <dataValidation type="list" allowBlank="1" showInputMessage="1" showErrorMessage="1" sqref="N6:N8 N10:N29" xr:uid="{BB38B5B7-9DC7-4BCF-8047-977ADFCA716D}">
      <formula1>"전략사업1본부,전략사업2본부,공공사업팀,IT사업부문,시스템팀,SI사업2본부,서비스사업본부,ICT사업부문,DIS본부,AICC본부"</formula1>
    </dataValidation>
    <dataValidation type="list" allowBlank="1" showInputMessage="1" showErrorMessage="1" sqref="N9" xr:uid="{5E44C42B-2654-40FE-B3A3-1153D0B83E18}">
      <formula1>"전략사업본부,공공사업팀,신사업팀,IT사업부문,시스템팀,SI사업2본부,클라우드사업본부"</formula1>
    </dataValidation>
    <dataValidation type="list" allowBlank="1" showInputMessage="1" showErrorMessage="1" sqref="N11" xr:uid="{4CCE4992-E0B7-47B2-8FBD-9EE65776C2F9}">
      <formula1>"전략사업본부,공공사업팀,신사업팀,IT사업부문,시스템팀,SI사업2본부,서비스사업본부,SI사업부문,DIS본부"</formula1>
    </dataValidation>
    <dataValidation type="list" allowBlank="1" showInputMessage="1" showErrorMessage="1" sqref="W6:W29 K6:K29" xr:uid="{74ABBEF0-DB88-47A5-9033-1FA31E0F2FE2}">
      <formula1>"WIN,LOSS,DROP,DELAY,결과대기,유찰,제안진행,이행중,수행중,완료,업무이관,사전규격검토,사전영업지원,수행중(WIN),업무지원"</formula1>
    </dataValidation>
    <dataValidation type="list" allowBlank="1" showInputMessage="1" showErrorMessage="1" sqref="W6:W29 K6:K29" xr:uid="{6771D548-0536-4B9A-A26B-F29B424598BE}">
      <formula1>"WIN,LOSS,DROP,DELAY,사업취소,결과대기,유찰,제안진행,수행중,업무이관,사전규격검토,사전영업지원,제출완료,수행중,수행중(WIN),수행완료(WIN),업무지원,지원완료"</formula1>
    </dataValidation>
    <dataValidation type="list" allowBlank="1" showInputMessage="1" showErrorMessage="1" sqref="B6:B29" xr:uid="{B9507AF4-8BC9-4C3B-9B87-DFCD096585C5}">
      <formula1>"PMO본부,기술부문,IT사업부문"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1B26-6E51-400D-986E-71BD9CD6CF9A}">
  <dimension ref="A1:J13"/>
  <sheetViews>
    <sheetView zoomScale="96" zoomScaleNormal="96" workbookViewId="0">
      <selection activeCell="C7" sqref="C7"/>
    </sheetView>
  </sheetViews>
  <sheetFormatPr defaultRowHeight="17.399999999999999" x14ac:dyDescent="0.4"/>
  <cols>
    <col min="1" max="1" width="5.19921875" bestFit="1" customWidth="1"/>
    <col min="2" max="2" width="72" customWidth="1"/>
    <col min="3" max="3" width="13.69921875" bestFit="1" customWidth="1"/>
    <col min="4" max="4" width="9.69921875" customWidth="1"/>
    <col min="5" max="5" width="5.19921875" bestFit="1" customWidth="1"/>
    <col min="6" max="6" width="17.3984375" customWidth="1"/>
    <col min="7" max="7" width="14.5" customWidth="1"/>
    <col min="8" max="8" width="16.19921875" customWidth="1"/>
    <col min="9" max="9" width="11.8984375" customWidth="1"/>
    <col min="10" max="10" width="12.59765625" customWidth="1"/>
  </cols>
  <sheetData>
    <row r="1" spans="1:10" x14ac:dyDescent="0.4">
      <c r="A1" s="52" t="s">
        <v>3</v>
      </c>
      <c r="B1" s="52" t="s">
        <v>208</v>
      </c>
      <c r="C1" s="52" t="s">
        <v>209</v>
      </c>
      <c r="D1" s="52" t="s">
        <v>210</v>
      </c>
      <c r="E1" s="52" t="s">
        <v>211</v>
      </c>
      <c r="F1" s="52" t="s">
        <v>212</v>
      </c>
      <c r="G1" s="52" t="s">
        <v>213</v>
      </c>
      <c r="H1" s="52" t="s">
        <v>214</v>
      </c>
      <c r="I1" s="52" t="s">
        <v>215</v>
      </c>
      <c r="J1" s="52" t="s">
        <v>216</v>
      </c>
    </row>
    <row r="2" spans="1:10" s="79" customFormat="1" x14ac:dyDescent="0.4">
      <c r="A2" s="64">
        <v>1</v>
      </c>
      <c r="B2" s="83" t="s">
        <v>217</v>
      </c>
      <c r="C2" s="54" t="s">
        <v>107</v>
      </c>
      <c r="D2" s="55" t="s">
        <v>218</v>
      </c>
      <c r="E2" s="54" t="s">
        <v>219</v>
      </c>
      <c r="F2" s="54" t="s">
        <v>220</v>
      </c>
      <c r="G2" s="54" t="s">
        <v>221</v>
      </c>
      <c r="H2" s="54" t="s">
        <v>115</v>
      </c>
      <c r="I2" s="54"/>
      <c r="J2" s="54"/>
    </row>
    <row r="3" spans="1:10" x14ac:dyDescent="0.4">
      <c r="A3" s="64">
        <v>2</v>
      </c>
      <c r="B3" s="53" t="s">
        <v>222</v>
      </c>
      <c r="C3" s="54" t="s">
        <v>223</v>
      </c>
      <c r="D3" s="55" t="s">
        <v>224</v>
      </c>
      <c r="E3" s="54" t="s">
        <v>219</v>
      </c>
      <c r="F3" s="54" t="s">
        <v>220</v>
      </c>
      <c r="G3" s="54" t="s">
        <v>225</v>
      </c>
      <c r="H3" s="54" t="s">
        <v>171</v>
      </c>
      <c r="I3" s="56"/>
      <c r="J3" s="56"/>
    </row>
    <row r="4" spans="1:10" x14ac:dyDescent="0.4">
      <c r="A4" s="64">
        <v>3</v>
      </c>
      <c r="B4" s="53" t="s">
        <v>226</v>
      </c>
      <c r="C4" s="54" t="s">
        <v>132</v>
      </c>
      <c r="D4" s="55" t="s">
        <v>227</v>
      </c>
      <c r="E4" s="54"/>
      <c r="F4" s="54" t="s">
        <v>228</v>
      </c>
      <c r="G4" s="54" t="s">
        <v>229</v>
      </c>
      <c r="H4" s="54" t="s">
        <v>230</v>
      </c>
      <c r="I4" s="56"/>
      <c r="J4" s="56"/>
    </row>
    <row r="5" spans="1:10" ht="15.6" customHeight="1" x14ac:dyDescent="0.4">
      <c r="A5" s="64">
        <v>4</v>
      </c>
      <c r="B5" s="53" t="s">
        <v>231</v>
      </c>
      <c r="C5" s="54" t="s">
        <v>139</v>
      </c>
      <c r="D5" s="55" t="s">
        <v>232</v>
      </c>
      <c r="E5" s="54" t="s">
        <v>219</v>
      </c>
      <c r="F5" s="54" t="s">
        <v>220</v>
      </c>
      <c r="G5" s="54" t="s">
        <v>233</v>
      </c>
      <c r="H5" s="54" t="s">
        <v>230</v>
      </c>
      <c r="I5" s="56"/>
      <c r="J5" s="56"/>
    </row>
    <row r="6" spans="1:10" x14ac:dyDescent="0.4">
      <c r="A6" s="64">
        <v>5</v>
      </c>
      <c r="B6" s="53" t="s">
        <v>234</v>
      </c>
      <c r="C6" s="54" t="s">
        <v>149</v>
      </c>
      <c r="D6" s="55" t="s">
        <v>218</v>
      </c>
      <c r="E6" s="80" t="s">
        <v>219</v>
      </c>
      <c r="F6" s="54" t="s">
        <v>220</v>
      </c>
      <c r="G6" s="54" t="s">
        <v>235</v>
      </c>
      <c r="H6" s="54" t="s">
        <v>171</v>
      </c>
      <c r="I6" s="56"/>
      <c r="J6" s="56"/>
    </row>
    <row r="7" spans="1:10" x14ac:dyDescent="0.4">
      <c r="A7" s="64">
        <v>6</v>
      </c>
      <c r="B7" s="53" t="s">
        <v>236</v>
      </c>
      <c r="C7" s="54" t="s">
        <v>254</v>
      </c>
      <c r="D7" s="55" t="s">
        <v>237</v>
      </c>
      <c r="E7" s="54" t="s">
        <v>219</v>
      </c>
      <c r="F7" s="54" t="s">
        <v>238</v>
      </c>
      <c r="G7" s="54" t="s">
        <v>239</v>
      </c>
      <c r="H7" s="54" t="s">
        <v>184</v>
      </c>
      <c r="I7" s="56"/>
      <c r="J7" s="56"/>
    </row>
    <row r="8" spans="1:10" x14ac:dyDescent="0.4">
      <c r="A8" s="64">
        <v>7</v>
      </c>
      <c r="B8" s="53" t="s">
        <v>240</v>
      </c>
      <c r="C8" s="54" t="s">
        <v>167</v>
      </c>
      <c r="D8" s="55" t="s">
        <v>224</v>
      </c>
      <c r="E8" s="54" t="s">
        <v>241</v>
      </c>
      <c r="F8" s="54" t="s">
        <v>220</v>
      </c>
      <c r="G8" s="54" t="s">
        <v>242</v>
      </c>
      <c r="H8" s="54" t="s">
        <v>171</v>
      </c>
      <c r="I8" s="56"/>
      <c r="J8" s="56"/>
    </row>
    <row r="9" spans="1:10" x14ac:dyDescent="0.4">
      <c r="A9" s="64">
        <v>8</v>
      </c>
      <c r="B9" s="53" t="s">
        <v>243</v>
      </c>
      <c r="C9" s="54" t="s">
        <v>174</v>
      </c>
      <c r="D9" s="55" t="s">
        <v>244</v>
      </c>
      <c r="E9" s="54" t="s">
        <v>241</v>
      </c>
      <c r="F9" s="54" t="s">
        <v>220</v>
      </c>
      <c r="G9" s="54" t="s">
        <v>245</v>
      </c>
      <c r="H9" s="54" t="s">
        <v>184</v>
      </c>
      <c r="I9" s="56"/>
      <c r="J9" s="56"/>
    </row>
    <row r="10" spans="1:10" x14ac:dyDescent="0.4">
      <c r="A10" s="64">
        <v>9</v>
      </c>
      <c r="B10" s="53" t="s">
        <v>246</v>
      </c>
      <c r="C10" s="54" t="s">
        <v>247</v>
      </c>
      <c r="D10" s="55" t="s">
        <v>244</v>
      </c>
      <c r="E10" s="54" t="s">
        <v>241</v>
      </c>
      <c r="F10" s="54" t="s">
        <v>220</v>
      </c>
      <c r="G10" s="54" t="s">
        <v>248</v>
      </c>
      <c r="H10" s="54" t="s">
        <v>184</v>
      </c>
      <c r="I10" s="56"/>
      <c r="J10" s="56"/>
    </row>
    <row r="11" spans="1:10" x14ac:dyDescent="0.4">
      <c r="A11" s="64">
        <v>10</v>
      </c>
      <c r="B11" s="53" t="s">
        <v>249</v>
      </c>
      <c r="C11" s="54" t="s">
        <v>188</v>
      </c>
      <c r="D11" s="55" t="s">
        <v>244</v>
      </c>
      <c r="E11" s="54" t="s">
        <v>241</v>
      </c>
      <c r="F11" s="54" t="s">
        <v>190</v>
      </c>
      <c r="G11" s="54" t="s">
        <v>250</v>
      </c>
      <c r="H11" s="54" t="s">
        <v>171</v>
      </c>
      <c r="I11" s="56"/>
      <c r="J11" s="56"/>
    </row>
    <row r="12" spans="1:10" x14ac:dyDescent="0.4">
      <c r="A12" s="64">
        <v>11</v>
      </c>
      <c r="B12" s="53" t="s">
        <v>251</v>
      </c>
      <c r="C12" s="54" t="s">
        <v>198</v>
      </c>
      <c r="D12" s="55" t="s">
        <v>244</v>
      </c>
      <c r="E12" s="54" t="s">
        <v>241</v>
      </c>
      <c r="F12" s="54" t="s">
        <v>238</v>
      </c>
      <c r="G12" s="54" t="s">
        <v>239</v>
      </c>
      <c r="H12" s="54" t="s">
        <v>200</v>
      </c>
      <c r="I12" s="56"/>
      <c r="J12" s="56"/>
    </row>
    <row r="13" spans="1:10" x14ac:dyDescent="0.4">
      <c r="A13" s="64">
        <v>12</v>
      </c>
      <c r="B13" s="57"/>
      <c r="C13" s="54" t="s">
        <v>252</v>
      </c>
      <c r="D13" s="59"/>
      <c r="E13" s="58"/>
      <c r="F13" s="54"/>
      <c r="G13" s="58"/>
      <c r="H13" s="58"/>
      <c r="I13" s="56"/>
      <c r="J13" s="56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4A96676F7763842BEB97D775A530BC5" ma:contentTypeVersion="13" ma:contentTypeDescription="새 문서를 만듭니다." ma:contentTypeScope="" ma:versionID="8c79e6bbe3dcdb54712d8b1e78c0a23b">
  <xsd:schema xmlns:xsd="http://www.w3.org/2001/XMLSchema" xmlns:xs="http://www.w3.org/2001/XMLSchema" xmlns:p="http://schemas.microsoft.com/office/2006/metadata/properties" xmlns:ns2="33250c33-706b-43c1-a30f-48a929158ae3" xmlns:ns3="985cac21-6ba8-4e75-9208-fe5e012c4cdf" targetNamespace="http://schemas.microsoft.com/office/2006/metadata/properties" ma:root="true" ma:fieldsID="0f5a3cf621a39762b8d29fc1b187440b" ns2:_="" ns3:_="">
    <xsd:import namespace="33250c33-706b-43c1-a30f-48a929158ae3"/>
    <xsd:import namespace="985cac21-6ba8-4e75-9208-fe5e012c4c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50c33-706b-43c1-a30f-48a929158a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af88afb6-f8e9-4e2e-bd0b-eb081505f0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cac21-6ba8-4e75-9208-fe5e012c4c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707c1c5-41f0-4af3-9f6f-7fdfeacc1fdf}" ma:internalName="TaxCatchAll" ma:showField="CatchAllData" ma:web="985cac21-6ba8-4e75-9208-fe5e012c4c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50c33-706b-43c1-a30f-48a929158ae3">
      <Terms xmlns="http://schemas.microsoft.com/office/infopath/2007/PartnerControls"/>
    </lcf76f155ced4ddcb4097134ff3c332f>
    <TaxCatchAll xmlns="985cac21-6ba8-4e75-9208-fe5e012c4c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10B18-C354-4413-B9CB-2C16F0BCA4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50c33-706b-43c1-a30f-48a929158ae3"/>
    <ds:schemaRef ds:uri="985cac21-6ba8-4e75-9208-fe5e012c4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24C91C-275F-440D-964F-73D1066E863A}">
  <ds:schemaRefs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33250c33-706b-43c1-a30f-48a929158ae3"/>
    <ds:schemaRef ds:uri="http://schemas.microsoft.com/office/2006/documentManagement/types"/>
    <ds:schemaRef ds:uri="http://schemas.microsoft.com/office/infopath/2007/PartnerControls"/>
    <ds:schemaRef ds:uri="985cac21-6ba8-4e75-9208-fe5e012c4cd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2481E45-D18D-4835-80E7-9510A0AD42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업무수행현황</vt:lpstr>
      <vt:lpstr>프로젝트코드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윤영운</dc:creator>
  <cp:keywords/>
  <dc:description/>
  <cp:lastModifiedBy>심우정</cp:lastModifiedBy>
  <cp:revision/>
  <dcterms:created xsi:type="dcterms:W3CDTF">2026-01-05T04:32:26Z</dcterms:created>
  <dcterms:modified xsi:type="dcterms:W3CDTF">2026-04-23T02:15:21Z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0x01010034A96676F7763842BEB97D775A530BC5</vt:lpwstr>
  </property>
  <property fmtid="{D5CDD505-2E9C-101B-9397-08002B2CF9AE}" pid="3" name="MediaServiceImageTags">
    <vt:lpwstr/>
  </property>
  <property fmtid="{D5CDD505-2E9C-101B-9397-08002B2CF9AE}" pid="4" name="Order">
    <vt:r8>5887200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